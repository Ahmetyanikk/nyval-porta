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rkovCheck Costs" sheetId="1" state="visible" r:id="rId3"/>
    <sheet name="Sheet1" sheetId="2" state="visible" r:id="rId4"/>
    <sheet name="MarkovCheck Utilit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<sst xmlns="http://schemas.openxmlformats.org/spreadsheetml/2006/main" count="110" uniqueCount="53">
  <si>
    <t xml:space="preserve">Markov Cost Cross-Check (State Maintenance Costs Only)</t>
  </si>
  <si>
    <t xml:space="preserve">Legend:</t>
  </si>
  <si>
    <t xml:space="preserve">Data to input</t>
  </si>
  <si>
    <t xml:space="preserve">Inputs</t>
  </si>
  <si>
    <t xml:space="preserve">HS1</t>
  </si>
  <si>
    <t xml:space="preserve">HS2</t>
  </si>
  <si>
    <t xml:space="preserve">HS3</t>
  </si>
  <si>
    <t xml:space="preserve">Death</t>
  </si>
  <si>
    <t xml:space="preserve">Patients</t>
  </si>
  <si>
    <t xml:space="preserve">Horizon (cycles)</t>
  </si>
  <si>
    <t xml:space="preserve">Cycle length (months)</t>
  </si>
  <si>
    <t xml:space="preserve">Row sum</t>
  </si>
  <si>
    <t xml:space="preserve">State Costs per Cycle</t>
  </si>
  <si>
    <t xml:space="preserve">Cohort Occupancies and Costs by Cycle for Our Product (number of patients)</t>
  </si>
  <si>
    <t xml:space="preserve">Checks</t>
  </si>
  <si>
    <t xml:space="preserve">Cycle</t>
  </si>
  <si>
    <t xml:space="preserve">Alive</t>
  </si>
  <si>
    <t xml:space="preserve">Total (Alive+Dead)</t>
  </si>
  <si>
    <t xml:space="preserve">State Cost</t>
  </si>
  <si>
    <t xml:space="preserve">Row sums of P (should be 1.000)</t>
  </si>
  <si>
    <t xml:space="preserve">OK?</t>
  </si>
  <si>
    <t xml:space="preserve">Totals:</t>
  </si>
  <si>
    <t xml:space="preserve">Per-patient total:</t>
  </si>
  <si>
    <t xml:space="preserve">HEX simulation outcome</t>
  </si>
  <si>
    <t xml:space="preserve">Total cost Our Product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</si>
  <si>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</si>
  <si>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</si>
  <si>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</si>
  <si>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</si>
  <si>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</si>
  <si>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</si>
  <si>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</si>
  <si>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</si>
  <si>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</si>
  <si>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</si>
  <si>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</si>
  <si>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turkey</t>
  </si>
  <si>
    <t xml:space="preserve">World</t>
  </si>
  <si>
    <t xml:space="preserve">State Utilities per Cycle</t>
  </si>
  <si>
    <t xml:space="preserve">State Utilities</t>
  </si>
  <si>
    <t xml:space="preserve">Utility Σ</t>
  </si>
  <si>
    <t xml:space="preserve">Cycle </t>
  </si>
  <si>
    <t xml:space="preserve">HS1 util contrib</t>
  </si>
  <si>
    <t xml:space="preserve">HS2 util contrib</t>
  </si>
  <si>
    <t xml:space="preserve">HS3 util contrib</t>
  </si>
  <si>
    <t xml:space="preserve">Total util (cohort) </t>
  </si>
  <si>
    <t xml:space="preserve">Avg util (per-pt)</t>
  </si>
  <si>
    <t xml:space="preserve">QALYs (cohort) </t>
  </si>
  <si>
    <t xml:space="preserve">QALYs (per-pt)</t>
  </si>
  <si>
    <t xml:space="preserve">Disc. QALYs (per-pt) </t>
  </si>
  <si>
    <t xml:space="preserve">Costs</t>
  </si>
  <si>
    <t xml:space="preserve">Utilities</t>
  </si>
  <si>
    <t xml:space="preserve">eration 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</si>
</sst>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%0.00"/>
    <numFmt numFmtId="167" formatCode="0.000"/>
    <numFmt numFmtId="168" formatCode="#,##0.00"/>
    <numFmt numFmtId="169" formatCode="_(* #,##0.00_);_(* \(#,##0.00\);_(* \-??_);_(@_)"/>
    <numFmt numFmtId="170" formatCode="_(* #,##0_);_(* \(#,##0\);_(* \-??_);_(@_)"/>
    <numFmt numFmtId="171" formatCode="_(\$* #,##0.00_);_(\$* \(#,##0.00\);_(\$* \-??_);_(@_)"/>
    <numFmt numFmtId="172" formatCode="#,##0.000"/>
  </numFmts>
  <fonts count="9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972F"/>
        <bgColor rgb="FFFF8080"/>
      </patternFill>
    </fill>
    <fill>
      <patternFill patternType="solid">
        <fgColor rgb="FFFEFEFE"/>
        <bgColor rgb="FFF2F2F2"/>
      </patternFill>
    </fill>
    <fill>
      <patternFill patternType="solid">
        <fgColor rgb="FFF2F2F2"/>
        <bgColor rgb="FFFEFE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2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2" borderId="1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5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EFE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7" activeCellId="0" sqref="F7"/>
    </sheetView>
  </sheetViews>
  <sheetFormatPr defaultColWidth="8.390625" defaultRowHeight="15" customHeight="true" zeroHeight="false" outlineLevelRow="0" outlineLevelCol="0"/>
  <cols>
    <col collapsed="false" customWidth="true" hidden="false" outlineLevel="0" max="6" min="1" style="1" width="18"/>
    <col collapsed="false" customWidth="true" hidden="false" outlineLevel="0" max="7" min="7" style="1" width="21.43"/>
    <col collapsed="false" customWidth="true" hidden="false" outlineLevel="0" max="11" min="8" style="1" width="18"/>
  </cols>
  <sheetData>
    <row r="1" customFormat="false" ht="17.35" hidden="false" customHeight="false" outlineLevel="0" collapsed="false">
      <c r="A1" s="2" t="s">
        <v>0</v>
      </c>
      <c r="B1" s="3"/>
      <c r="C1" s="3"/>
      <c r="D1" s="3"/>
      <c r="E1" s="3"/>
      <c r="F1" s="3"/>
      <c r="G1" s="4" t="s">
        <v>1</v>
      </c>
      <c r="H1" s="5" t="s">
        <v>2</v>
      </c>
      <c r="I1" s="3"/>
      <c r="J1" s="3"/>
      <c r="K1" s="3"/>
      <c r="L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6" t="s">
        <v>3</v>
      </c>
      <c r="B3" s="3"/>
      <c r="C3" s="3"/>
      <c r="D3" s="7" t="s">
        <v>4</v>
      </c>
      <c r="E3" s="7" t="s">
        <v>5</v>
      </c>
      <c r="F3" s="7" t="s">
        <v>6</v>
      </c>
      <c r="G3" s="7" t="s">
        <v>7</v>
      </c>
      <c r="H3" s="3"/>
      <c r="I3" s="3"/>
      <c r="J3" s="3"/>
      <c r="K3" s="3"/>
      <c r="L3" s="3"/>
    </row>
    <row r="4" customFormat="false" ht="15" hidden="false" customHeight="false" outlineLevel="0" collapsed="false">
      <c r="A4" s="3" t="s">
        <v>8</v>
      </c>
      <c r="B4" s="8" t="n">
        <v>1000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3" t="s">
        <v>9</v>
      </c>
      <c r="B5" s="9" t="n">
        <v>10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3" t="s">
        <v>10</v>
      </c>
      <c r="B6" s="9" t="n">
        <v>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6" t="s">
        <v>11</v>
      </c>
      <c r="I7" s="3"/>
      <c r="J7" s="3"/>
      <c r="K7" s="3"/>
      <c r="L7" s="3"/>
    </row>
    <row r="8" customFormat="false" ht="15" hidden="false" customHeight="false" outlineLevel="0" collapsed="false">
      <c r="A8" s="3"/>
      <c r="B8" s="3"/>
      <c r="C8" s="7" t="s">
        <v>4</v>
      </c>
      <c r="D8" s="10" t="n">
        <v>0.8</v>
      </c>
      <c r="E8" s="10" t="n">
        <v>0.1</v>
      </c>
      <c r="F8" s="10" t="n">
        <v>0.1</v>
      </c>
      <c r="G8" s="10" t="n">
        <v>0</v>
      </c>
      <c r="H8" s="11" t="n">
        <f aca="false">SUM(D8:G8)</f>
        <v>1</v>
      </c>
      <c r="I8" s="3"/>
      <c r="J8" s="12" t="n">
        <f aca="false">SUM($D8:$G8)</f>
        <v>1</v>
      </c>
      <c r="K8" s="3" t="str">
        <f aca="false">IF(ABS(J8-1)&lt;0.000001,"OK","Check")</f>
        <v>OK</v>
      </c>
      <c r="L8" s="3"/>
    </row>
    <row r="9" customFormat="false" ht="15" hidden="false" customHeight="false" outlineLevel="0" collapsed="false">
      <c r="A9" s="3"/>
      <c r="B9" s="3"/>
      <c r="C9" s="7" t="s">
        <v>5</v>
      </c>
      <c r="D9" s="10" t="n">
        <v>0</v>
      </c>
      <c r="E9" s="10" t="n">
        <v>0.8</v>
      </c>
      <c r="F9" s="10" t="n">
        <v>0.1</v>
      </c>
      <c r="G9" s="10" t="n">
        <v>0.1</v>
      </c>
      <c r="H9" s="11" t="n">
        <f aca="false">SUM(D9:G9)</f>
        <v>1</v>
      </c>
      <c r="I9" s="3"/>
      <c r="J9" s="12" t="n">
        <f aca="false">SUM($D9:$G9)</f>
        <v>1</v>
      </c>
      <c r="K9" s="3" t="str">
        <f aca="false">IF(ABS(J9-1)&lt;0.000001,"OK","Check")</f>
        <v>OK</v>
      </c>
      <c r="L9" s="3"/>
    </row>
    <row r="10" customFormat="false" ht="15" hidden="false" customHeight="false" outlineLevel="0" collapsed="false">
      <c r="A10" s="3"/>
      <c r="B10" s="3"/>
      <c r="C10" s="7" t="s">
        <v>6</v>
      </c>
      <c r="D10" s="10" t="n">
        <v>0</v>
      </c>
      <c r="E10" s="10" t="n">
        <v>0</v>
      </c>
      <c r="F10" s="10" t="n">
        <v>0.8</v>
      </c>
      <c r="G10" s="10" t="n">
        <v>0.2</v>
      </c>
      <c r="H10" s="11" t="n">
        <f aca="false">SUM(D10:G10)</f>
        <v>1</v>
      </c>
      <c r="I10" s="3"/>
      <c r="J10" s="12" t="n">
        <f aca="false">SUM($D10:$G10)</f>
        <v>1</v>
      </c>
      <c r="K10" s="3" t="str">
        <f aca="false">IF(ABS(J10-1)&lt;0.000001,"OK","Check")</f>
        <v>OK</v>
      </c>
      <c r="L10" s="3"/>
    </row>
    <row r="11" customFormat="false" ht="15" hidden="false" customHeight="false" outlineLevel="0" collapsed="false">
      <c r="A11" s="3"/>
      <c r="B11" s="3"/>
      <c r="C11" s="7" t="s">
        <v>7</v>
      </c>
      <c r="D11" s="10" t="n">
        <v>0</v>
      </c>
      <c r="E11" s="10" t="n">
        <v>0</v>
      </c>
      <c r="F11" s="10" t="n">
        <v>0</v>
      </c>
      <c r="G11" s="10" t="n">
        <v>1</v>
      </c>
      <c r="H11" s="11" t="n">
        <f aca="false">SUM(D11:G11)</f>
        <v>1</v>
      </c>
      <c r="I11" s="3"/>
      <c r="J11" s="12" t="n">
        <f aca="false">SUM($D11:$G11)</f>
        <v>1</v>
      </c>
      <c r="K11" s="3" t="str">
        <f aca="false">IF(ABS(J11-1)&lt;0.000001,"OK","Check")</f>
        <v>OK</v>
      </c>
      <c r="L11" s="3"/>
    </row>
    <row r="12" customFormat="false" ht="15" hidden="false" customHeight="false" outlineLevel="0" collapsed="false">
      <c r="A12" s="3"/>
      <c r="B12" s="3"/>
      <c r="C12" s="3"/>
      <c r="D12" s="7" t="s">
        <v>4</v>
      </c>
      <c r="E12" s="7" t="s">
        <v>5</v>
      </c>
      <c r="F12" s="7" t="s">
        <v>6</v>
      </c>
      <c r="G12" s="7" t="s">
        <v>7</v>
      </c>
      <c r="H12" s="3"/>
      <c r="I12" s="3"/>
      <c r="J12" s="3"/>
      <c r="K12" s="3"/>
      <c r="L12" s="3"/>
    </row>
    <row r="13" customFormat="false" ht="15" hidden="false" customHeight="false" outlineLevel="0" collapsed="false">
      <c r="A13" s="6" t="s">
        <v>12</v>
      </c>
      <c r="B13" s="3"/>
      <c r="C13" s="3"/>
      <c r="D13" s="13" t="n">
        <v>100</v>
      </c>
      <c r="E13" s="13" t="n">
        <v>1000</v>
      </c>
      <c r="F13" s="13" t="n">
        <v>2000</v>
      </c>
      <c r="G13" s="13" t="n">
        <v>0</v>
      </c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14" t="s">
        <v>13</v>
      </c>
      <c r="B16" s="3"/>
      <c r="C16" s="3"/>
      <c r="D16" s="3"/>
      <c r="E16" s="3"/>
      <c r="F16" s="3"/>
      <c r="G16" s="3"/>
      <c r="H16" s="3"/>
      <c r="I16" s="3"/>
      <c r="J16" s="6" t="s">
        <v>14</v>
      </c>
      <c r="K16" s="3"/>
      <c r="L16" s="3"/>
    </row>
    <row r="17" customFormat="false" ht="15" hidden="false" customHeight="false" outlineLevel="0" collapsed="false">
      <c r="A17" s="7" t="s">
        <v>15</v>
      </c>
      <c r="B17" s="7" t="s">
        <v>4</v>
      </c>
      <c r="C17" s="7" t="s">
        <v>5</v>
      </c>
      <c r="D17" s="7" t="s">
        <v>6</v>
      </c>
      <c r="E17" s="7" t="s">
        <v>7</v>
      </c>
      <c r="F17" s="7" t="s">
        <v>16</v>
      </c>
      <c r="G17" s="7" t="s">
        <v>17</v>
      </c>
      <c r="H17" s="7" t="s">
        <v>18</v>
      </c>
      <c r="I17" s="3"/>
      <c r="J17" s="3" t="s">
        <v>19</v>
      </c>
      <c r="K17" s="3" t="s">
        <v>20</v>
      </c>
      <c r="L17" s="3"/>
    </row>
    <row r="18" customFormat="false" ht="15" hidden="false" customHeight="false" outlineLevel="0" collapsed="false">
      <c r="A18" s="15" t="n">
        <v>0</v>
      </c>
      <c r="B18" s="16" t="n">
        <f aca="false">IF(1=1,$B$4,0)</f>
        <v>1000</v>
      </c>
      <c r="C18" s="17" t="n">
        <f aca="false">IF(2=1,$B$4,0)</f>
        <v>0</v>
      </c>
      <c r="D18" s="17" t="n">
        <f aca="false">IF(3=1,$B$4,0)</f>
        <v>0</v>
      </c>
      <c r="E18" s="17" t="n">
        <f aca="false">IF(4=1,$B$4,0)</f>
        <v>0</v>
      </c>
      <c r="F18" s="17" t="n">
        <f aca="false">SUM(B18:D18)</f>
        <v>1000</v>
      </c>
      <c r="G18" s="17" t="n">
        <f aca="false">SUM(B18:E18)</f>
        <v>1000</v>
      </c>
      <c r="H18" s="18" t="n">
        <f aca="false">SUMPRODUCT(B18:E18,$D$13:$G$13)</f>
        <v>100000</v>
      </c>
      <c r="I18" s="3"/>
      <c r="J18" s="19" t="n">
        <f aca="false">G18</f>
        <v>1000</v>
      </c>
      <c r="K18" s="3" t="str">
        <f aca="false">IF(ABS(G18-$B$4)&lt;0.000001,"OK","Check")</f>
        <v>OK</v>
      </c>
      <c r="L18" s="3"/>
    </row>
    <row r="19" customFormat="false" ht="15" hidden="false" customHeight="false" outlineLevel="0" collapsed="false">
      <c r="A19" s="15" t="n">
        <v>1</v>
      </c>
      <c r="B19" s="16" t="n">
        <f aca="false" t="array" ref="B19:B19">SUMPRODUCT($B18:$E18,TRANSPOSE(D$8:D$11))</f>
        <v>800</v>
      </c>
      <c r="C19" s="16" t="n">
        <f aca="false" t="array" ref="C19:C19">SUMPRODUCT($B18:$E18,TRANSPOSE(E$8:E$11))</f>
        <v>100</v>
      </c>
      <c r="D19" s="16" t="n">
        <f aca="false" t="array" ref="D19:D19">SUMPRODUCT($B18:$E18,TRANSPOSE(F$8:F$11))</f>
        <v>100</v>
      </c>
      <c r="E19" s="16" t="n">
        <f aca="false" t="array" ref="E19:E19">SUMPRODUCT($B18:$E18,TRANSPOSE(G$8:G$11))</f>
        <v>0</v>
      </c>
      <c r="F19" s="16" t="n">
        <f aca="false">SUM(B19:D19)</f>
        <v>1000</v>
      </c>
      <c r="G19" s="17" t="n">
        <f aca="false">SUM(B19:E19)</f>
        <v>1000</v>
      </c>
      <c r="H19" s="18" t="n">
        <f aca="false">SUMPRODUCT(B19:E19,$D$13:$G$13)</f>
        <v>380000</v>
      </c>
      <c r="I19" s="3"/>
      <c r="J19" s="19" t="n">
        <f aca="false">G19</f>
        <v>1000</v>
      </c>
      <c r="K19" s="3" t="str">
        <f aca="false">IF(ABS(G19-$B$4)&lt;0.000001,"OK","Check")</f>
        <v>OK</v>
      </c>
      <c r="L19" s="3"/>
    </row>
    <row r="20" customFormat="false" ht="15" hidden="false" customHeight="false" outlineLevel="0" collapsed="false">
      <c r="A20" s="15" t="n">
        <v>2</v>
      </c>
      <c r="B20" s="16" t="n">
        <f aca="false" t="array" ref="B20:B20">SUMPRODUCT($B19:$E19,TRANSPOSE(D$8:D$11))</f>
        <v>640</v>
      </c>
      <c r="C20" s="16" t="n">
        <f aca="false" t="array" ref="C20:C20">SUMPRODUCT($B19:$E19,TRANSPOSE(E$8:E$11))</f>
        <v>160</v>
      </c>
      <c r="D20" s="16" t="n">
        <f aca="false" t="array" ref="D20:D20">SUMPRODUCT($B19:$E19,TRANSPOSE(F$8:F$11))</f>
        <v>170</v>
      </c>
      <c r="E20" s="16" t="n">
        <f aca="false" t="array" ref="E20:E20">SUMPRODUCT($B19:$E19,TRANSPOSE(G$8:G$11))</f>
        <v>30</v>
      </c>
      <c r="F20" s="16" t="n">
        <f aca="false">SUM(B20:D20)</f>
        <v>970</v>
      </c>
      <c r="G20" s="17" t="n">
        <f aca="false">SUM(B20:E20)</f>
        <v>1000</v>
      </c>
      <c r="H20" s="18" t="n">
        <f aca="false">SUMPRODUCT(B20:E20,$D$13:$G$13)</f>
        <v>564000</v>
      </c>
      <c r="I20" s="3"/>
      <c r="J20" s="19" t="n">
        <f aca="false">G20</f>
        <v>1000</v>
      </c>
      <c r="K20" s="3" t="str">
        <f aca="false">IF(ABS(G20-$B$4)&lt;0.000001,"OK","Check")</f>
        <v>OK</v>
      </c>
      <c r="L20" s="3"/>
    </row>
    <row r="21" customFormat="false" ht="15" hidden="false" customHeight="false" outlineLevel="0" collapsed="false">
      <c r="A21" s="15" t="n">
        <v>3</v>
      </c>
      <c r="B21" s="16" t="n">
        <f aca="false" t="array" ref="B21:B21">SUMPRODUCT($B20:$E20,TRANSPOSE(D$8:D$11))</f>
        <v>512</v>
      </c>
      <c r="C21" s="16" t="n">
        <f aca="false" t="array" ref="C21:C21">SUMPRODUCT($B20:$E20,TRANSPOSE(E$8:E$11))</f>
        <v>192</v>
      </c>
      <c r="D21" s="16" t="n">
        <f aca="false" t="array" ref="D21:D21">SUMPRODUCT($B20:$E20,TRANSPOSE(F$8:F$11))</f>
        <v>216</v>
      </c>
      <c r="E21" s="16" t="n">
        <f aca="false" t="array" ref="E21:E21">SUMPRODUCT($B20:$E20,TRANSPOSE(G$8:G$11))</f>
        <v>80</v>
      </c>
      <c r="F21" s="16" t="n">
        <f aca="false">SUM(B21:D21)</f>
        <v>920</v>
      </c>
      <c r="G21" s="17" t="n">
        <f aca="false">SUM(B21:E21)</f>
        <v>1000</v>
      </c>
      <c r="H21" s="18" t="n">
        <f aca="false">SUMPRODUCT(B21:E21,$D$13:$G$13)</f>
        <v>675200</v>
      </c>
      <c r="I21" s="3"/>
      <c r="J21" s="19" t="n">
        <f aca="false">G21</f>
        <v>1000</v>
      </c>
      <c r="K21" s="3" t="str">
        <f aca="false">IF(ABS(G21-$B$4)&lt;0.000001,"OK","Check")</f>
        <v>OK</v>
      </c>
      <c r="L21" s="3"/>
    </row>
    <row r="22" customFormat="false" ht="15" hidden="false" customHeight="false" outlineLevel="0" collapsed="false">
      <c r="A22" s="15" t="n">
        <v>4</v>
      </c>
      <c r="B22" s="16" t="n">
        <f aca="false" t="array" ref="B22:B22">SUMPRODUCT($B21:$E21,TRANSPOSE(D$8:D$11))</f>
        <v>409.6</v>
      </c>
      <c r="C22" s="16" t="n">
        <f aca="false" t="array" ref="C22:C22">SUMPRODUCT($B21:$E21,TRANSPOSE(E$8:E$11))</f>
        <v>204.8</v>
      </c>
      <c r="D22" s="16" t="n">
        <f aca="false" t="array" ref="D22:D22">SUMPRODUCT($B21:$E21,TRANSPOSE(F$8:F$11))</f>
        <v>243.2</v>
      </c>
      <c r="E22" s="16" t="n">
        <f aca="false" t="array" ref="E22:E22">SUMPRODUCT($B21:$E21,TRANSPOSE(G$8:G$11))</f>
        <v>142.4</v>
      </c>
      <c r="F22" s="16" t="n">
        <f aca="false">SUM(B22:D22)</f>
        <v>857.6</v>
      </c>
      <c r="G22" s="17" t="n">
        <f aca="false">SUM(B22:E22)</f>
        <v>1000</v>
      </c>
      <c r="H22" s="18" t="n">
        <f aca="false">SUMPRODUCT(B22:E22,$D$13:$G$13)</f>
        <v>732160</v>
      </c>
      <c r="I22" s="3"/>
      <c r="J22" s="19" t="n">
        <f aca="false">G22</f>
        <v>1000</v>
      </c>
      <c r="K22" s="3" t="str">
        <f aca="false">IF(ABS(G22-$B$4)&lt;0.000001,"OK","Check")</f>
        <v>OK</v>
      </c>
      <c r="L22" s="3"/>
    </row>
    <row r="23" customFormat="false" ht="15" hidden="false" customHeight="false" outlineLevel="0" collapsed="false">
      <c r="A23" s="15" t="n">
        <v>5</v>
      </c>
      <c r="B23" s="16" t="n">
        <f aca="false" t="array" ref="B23:B23">SUMPRODUCT($B22:$E22,TRANSPOSE(D$8:D$11))</f>
        <v>327.68</v>
      </c>
      <c r="C23" s="16" t="n">
        <f aca="false" t="array" ref="C23:C23">SUMPRODUCT($B22:$E22,TRANSPOSE(E$8:E$11))</f>
        <v>204.8</v>
      </c>
      <c r="D23" s="16" t="n">
        <f aca="false" t="array" ref="D23:D23">SUMPRODUCT($B22:$E22,TRANSPOSE(F$8:F$11))</f>
        <v>256</v>
      </c>
      <c r="E23" s="16" t="n">
        <f aca="false" t="array" ref="E23:E23">SUMPRODUCT($B22:$E22,TRANSPOSE(G$8:G$11))</f>
        <v>211.52</v>
      </c>
      <c r="F23" s="16" t="n">
        <f aca="false">SUM(B23:D23)</f>
        <v>788.48</v>
      </c>
      <c r="G23" s="17" t="n">
        <f aca="false">SUM(B23:E23)</f>
        <v>1000</v>
      </c>
      <c r="H23" s="18" t="n">
        <f aca="false">SUMPRODUCT(B23:E23,$D$13:$G$13)</f>
        <v>749568</v>
      </c>
      <c r="I23" s="3"/>
      <c r="J23" s="19" t="n">
        <f aca="false">G23</f>
        <v>1000</v>
      </c>
      <c r="K23" s="3" t="str">
        <f aca="false">IF(ABS(G23-$B$4)&lt;0.000001,"OK","Check")</f>
        <v>OK</v>
      </c>
      <c r="L23" s="3"/>
    </row>
    <row r="24" customFormat="false" ht="15" hidden="false" customHeight="false" outlineLevel="0" collapsed="false">
      <c r="A24" s="15" t="n">
        <v>6</v>
      </c>
      <c r="B24" s="16" t="n">
        <f aca="false" t="array" ref="B24:B24">SUMPRODUCT($B23:$E23,TRANSPOSE(D$8:D$11))</f>
        <v>262.144</v>
      </c>
      <c r="C24" s="16" t="n">
        <f aca="false" t="array" ref="C24:C24">SUMPRODUCT($B23:$E23,TRANSPOSE(E$8:E$11))</f>
        <v>196.608</v>
      </c>
      <c r="D24" s="16" t="n">
        <f aca="false" t="array" ref="D24:D24">SUMPRODUCT($B23:$E23,TRANSPOSE(F$8:F$11))</f>
        <v>258.048</v>
      </c>
      <c r="E24" s="16" t="n">
        <f aca="false" t="array" ref="E24:E24">SUMPRODUCT($B23:$E23,TRANSPOSE(G$8:G$11))</f>
        <v>283.2</v>
      </c>
      <c r="F24" s="16" t="n">
        <f aca="false">SUM(B24:D24)</f>
        <v>716.8</v>
      </c>
      <c r="G24" s="17" t="n">
        <f aca="false">SUM(B24:E24)</f>
        <v>1000</v>
      </c>
      <c r="H24" s="18" t="n">
        <f aca="false">SUMPRODUCT(B24:E24,$D$13:$G$13)</f>
        <v>738918.4</v>
      </c>
      <c r="I24" s="3"/>
      <c r="J24" s="19" t="n">
        <f aca="false">G24</f>
        <v>1000</v>
      </c>
      <c r="K24" s="3" t="str">
        <f aca="false">IF(ABS(G24-$B$4)&lt;0.000001,"OK","Check")</f>
        <v>OK</v>
      </c>
      <c r="L24" s="3"/>
    </row>
    <row r="25" customFormat="false" ht="15" hidden="false" customHeight="false" outlineLevel="0" collapsed="false">
      <c r="A25" s="15" t="n">
        <v>7</v>
      </c>
      <c r="B25" s="16" t="n">
        <f aca="false" t="array" ref="B25:B25">SUMPRODUCT($B24:$E24,TRANSPOSE(D$8:D$11))</f>
        <v>209.7152</v>
      </c>
      <c r="C25" s="16" t="n">
        <f aca="false" t="array" ref="C25:C25">SUMPRODUCT($B24:$E24,TRANSPOSE(E$8:E$11))</f>
        <v>183.5008</v>
      </c>
      <c r="D25" s="16" t="n">
        <f aca="false" t="array" ref="D25:D25">SUMPRODUCT($B24:$E24,TRANSPOSE(F$8:F$11))</f>
        <v>252.3136</v>
      </c>
      <c r="E25" s="16" t="n">
        <f aca="false" t="array" ref="E25:E25">SUMPRODUCT($B24:$E24,TRANSPOSE(G$8:G$11))</f>
        <v>354.4704</v>
      </c>
      <c r="F25" s="16" t="n">
        <f aca="false">SUM(B25:D25)</f>
        <v>645.5296</v>
      </c>
      <c r="G25" s="17" t="n">
        <f aca="false">SUM(B25:E25)</f>
        <v>1000</v>
      </c>
      <c r="H25" s="18" t="n">
        <f aca="false">SUMPRODUCT(B25:E25,$D$13:$G$13)</f>
        <v>709099.52</v>
      </c>
      <c r="I25" s="3"/>
      <c r="J25" s="19" t="n">
        <f aca="false">G25</f>
        <v>1000</v>
      </c>
      <c r="K25" s="3" t="str">
        <f aca="false">IF(ABS(G25-$B$4)&lt;0.000001,"OK","Check")</f>
        <v>OK</v>
      </c>
      <c r="L25" s="3"/>
    </row>
    <row r="26" customFormat="false" ht="15" hidden="false" customHeight="false" outlineLevel="0" collapsed="false">
      <c r="A26" s="15" t="n">
        <v>8</v>
      </c>
      <c r="B26" s="16" t="n">
        <f aca="false" t="array" ref="B26:B26">SUMPRODUCT($B25:$E25,TRANSPOSE(D$8:D$11))</f>
        <v>167.77216</v>
      </c>
      <c r="C26" s="16" t="n">
        <f aca="false" t="array" ref="C26:C26">SUMPRODUCT($B25:$E25,TRANSPOSE(E$8:E$11))</f>
        <v>167.77216</v>
      </c>
      <c r="D26" s="16" t="n">
        <f aca="false" t="array" ref="D26:D26">SUMPRODUCT($B25:$E25,TRANSPOSE(F$8:F$11))</f>
        <v>241.17248</v>
      </c>
      <c r="E26" s="16" t="n">
        <f aca="false" t="array" ref="E26:E26">SUMPRODUCT($B25:$E25,TRANSPOSE(G$8:G$11))</f>
        <v>423.2832</v>
      </c>
      <c r="F26" s="16" t="n">
        <f aca="false">SUM(B26:D26)</f>
        <v>576.7168</v>
      </c>
      <c r="G26" s="17" t="n">
        <f aca="false">SUM(B26:E26)</f>
        <v>1000</v>
      </c>
      <c r="H26" s="18" t="n">
        <f aca="false">SUMPRODUCT(B26:E26,$D$13:$G$13)</f>
        <v>666894.336</v>
      </c>
      <c r="I26" s="3"/>
      <c r="J26" s="19" t="n">
        <f aca="false">G26</f>
        <v>1000</v>
      </c>
      <c r="K26" s="3" t="str">
        <f aca="false">IF(ABS(G26-$B$4)&lt;0.000001,"OK","Check")</f>
        <v>OK</v>
      </c>
      <c r="L26" s="3"/>
    </row>
    <row r="27" customFormat="false" ht="15" hidden="false" customHeight="false" outlineLevel="0" collapsed="false">
      <c r="A27" s="15" t="n">
        <v>9</v>
      </c>
      <c r="B27" s="16" t="n">
        <f aca="false" t="array" ref="B27:B27">SUMPRODUCT($B26:$E26,TRANSPOSE(D$8:D$11))</f>
        <v>134.217728</v>
      </c>
      <c r="C27" s="16" t="n">
        <f aca="false" t="array" ref="C27:C27">SUMPRODUCT($B26:$E26,TRANSPOSE(E$8:E$11))</f>
        <v>150.994944</v>
      </c>
      <c r="D27" s="16" t="n">
        <f aca="false" t="array" ref="D27:D27">SUMPRODUCT($B26:$E26,TRANSPOSE(F$8:F$11))</f>
        <v>226.492416</v>
      </c>
      <c r="E27" s="16" t="n">
        <f aca="false" t="array" ref="E27:E27">SUMPRODUCT($B26:$E26,TRANSPOSE(G$8:G$11))</f>
        <v>488.294912</v>
      </c>
      <c r="F27" s="16" t="n">
        <f aca="false">SUM(B27:D27)</f>
        <v>511.705088</v>
      </c>
      <c r="G27" s="17" t="n">
        <f aca="false">SUM(B27:E27)</f>
        <v>1000</v>
      </c>
      <c r="H27" s="18" t="n">
        <f aca="false">SUMPRODUCT(B27:E27,$D$13:$G$13)</f>
        <v>617401.5488</v>
      </c>
      <c r="I27" s="3"/>
      <c r="J27" s="19" t="n">
        <f aca="false">G27</f>
        <v>1000</v>
      </c>
      <c r="K27" s="3" t="str">
        <f aca="false">IF(ABS(G27-$B$4)&lt;0.000001,"OK","Check")</f>
        <v>OK</v>
      </c>
      <c r="L27" s="3"/>
    </row>
    <row r="28" customFormat="false" ht="15" hidden="false" customHeight="false" outlineLevel="0" collapsed="false">
      <c r="A28" s="15" t="n">
        <v>10</v>
      </c>
      <c r="B28" s="20" t="n">
        <f aca="false" t="array" ref="B28:B28">SUMPRODUCT($B27:$E27,TRANSPOSE(D$8:D$11))</f>
        <v>107.3741824</v>
      </c>
      <c r="C28" s="20" t="n">
        <f aca="false" t="array" ref="C28:C28">SUMPRODUCT($B27:$E27,TRANSPOSE(E$8:E$11))</f>
        <v>134.217728</v>
      </c>
      <c r="D28" s="20" t="n">
        <f aca="false" t="array" ref="D28:D28">SUMPRODUCT($B27:$E27,TRANSPOSE(F$8:F$11))</f>
        <v>209.7152</v>
      </c>
      <c r="E28" s="20" t="n">
        <f aca="false" t="array" ref="E28:E28">SUMPRODUCT($B27:$E27,TRANSPOSE(G$8:G$11))</f>
        <v>548.6928896</v>
      </c>
      <c r="F28" s="20" t="n">
        <f aca="false">SUM(B28:D28)</f>
        <v>451.3071104</v>
      </c>
      <c r="G28" s="20" t="n">
        <f aca="false">SUM(B28:E28)</f>
        <v>1000</v>
      </c>
      <c r="H28" s="18" t="n">
        <f aca="false">SUMPRODUCT(B28:E28,$D$13:$G$13)</f>
        <v>564385.54624</v>
      </c>
      <c r="I28" s="3"/>
      <c r="J28" s="21" t="n">
        <f aca="false">G28</f>
        <v>1000</v>
      </c>
      <c r="K28" s="3" t="str">
        <f aca="false">IF(ABS(G28-$B$4)&lt;0.000001,"OK","Check")</f>
        <v>OK</v>
      </c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22" t="s">
        <v>21</v>
      </c>
      <c r="H29" s="23" t="n">
        <f aca="false">SUM(H18:H28)</f>
        <v>6497627.35104</v>
      </c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6" t="s">
        <v>22</v>
      </c>
      <c r="H30" s="24" t="n">
        <f aca="false">H29/$B$4</f>
        <v>6497.62735104</v>
      </c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 t="n">
        <f aca="false">E28*1000</f>
        <v>548692.8896</v>
      </c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25" t="n">
        <f aca="false">(E20-E19)*1000</f>
        <v>30000</v>
      </c>
      <c r="F32" s="3"/>
      <c r="G32" s="3"/>
      <c r="H32" s="26" t="n">
        <f aca="false">H29+100000+10000</f>
        <v>6607627.35104</v>
      </c>
      <c r="I32" s="26" t="n">
        <f aca="false">H32+E31</f>
        <v>7156320.24064</v>
      </c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25" t="n">
        <f aca="false">(E21-E20)*1000</f>
        <v>50000</v>
      </c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25" t="n">
        <f aca="false">(E22-E21)*1000</f>
        <v>62400</v>
      </c>
      <c r="F34" s="3"/>
      <c r="G34" s="27" t="s">
        <v>23</v>
      </c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25" t="n">
        <f aca="false">(E23-E22)*1000</f>
        <v>69120</v>
      </c>
      <c r="F35" s="3"/>
      <c r="G35" s="27" t="s">
        <v>24</v>
      </c>
      <c r="H35" s="28" t="n">
        <f aca="false">K56</f>
        <v>7868778.33</v>
      </c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25" t="n">
        <f aca="false">(E24-E23)*1000</f>
        <v>71680</v>
      </c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25" t="n">
        <f aca="false">(E25-E24)*1000</f>
        <v>71270.4</v>
      </c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25" t="n">
        <f aca="false">(E26-E25)*1000</f>
        <v>68812.8</v>
      </c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25" t="n">
        <f aca="false">(E27-E26)*1000</f>
        <v>65011.712</v>
      </c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25" t="n">
        <f aca="false">(E28-E27)*1000</f>
        <v>60397.9776000001</v>
      </c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25" t="n">
        <f aca="false">SUM(E32:E40)</f>
        <v>548692.8896</v>
      </c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5" customFormat="false" ht="20.25" hidden="false" customHeight="false" outlineLevel="0" collapsed="false">
      <c r="A45" s="29" t="s">
        <v>25</v>
      </c>
      <c r="B45" s="29" t="n">
        <v>0</v>
      </c>
      <c r="C45" s="29" t="n">
        <v>50</v>
      </c>
      <c r="D45" s="29" t="n">
        <v>1</v>
      </c>
      <c r="E45" s="29" t="n">
        <v>1</v>
      </c>
      <c r="F45" s="29" t="n">
        <v>0</v>
      </c>
      <c r="G45" s="30" t="n">
        <v>1000</v>
      </c>
      <c r="H45" s="29" t="n">
        <v>0</v>
      </c>
      <c r="I45" s="29" t="n">
        <v>0</v>
      </c>
      <c r="J45" s="29" t="n">
        <v>0</v>
      </c>
      <c r="K45" s="30" t="n">
        <v>400000</v>
      </c>
      <c r="L45" s="29" t="n">
        <v>700</v>
      </c>
    </row>
    <row r="46" customFormat="false" ht="20.25" hidden="false" customHeight="false" outlineLevel="0" collapsed="false">
      <c r="A46" s="31" t="s">
        <v>26</v>
      </c>
      <c r="B46" s="31" t="n">
        <v>1</v>
      </c>
      <c r="C46" s="31" t="n">
        <v>50</v>
      </c>
      <c r="D46" s="31" t="n">
        <v>1</v>
      </c>
      <c r="E46" s="31" t="n">
        <v>1</v>
      </c>
      <c r="F46" s="31" t="n">
        <v>0</v>
      </c>
      <c r="G46" s="31" t="n">
        <v>800</v>
      </c>
      <c r="H46" s="31" t="n">
        <v>100</v>
      </c>
      <c r="I46" s="31" t="n">
        <v>100</v>
      </c>
      <c r="J46" s="31" t="n">
        <v>0</v>
      </c>
      <c r="K46" s="32" t="n">
        <v>620000</v>
      </c>
      <c r="L46" s="31" t="n">
        <v>640</v>
      </c>
    </row>
    <row r="47" customFormat="false" ht="20.25" hidden="false" customHeight="false" outlineLevel="0" collapsed="false">
      <c r="A47" s="29" t="s">
        <v>27</v>
      </c>
      <c r="B47" s="29" t="n">
        <v>2</v>
      </c>
      <c r="C47" s="29" t="n">
        <v>50</v>
      </c>
      <c r="D47" s="29" t="n">
        <v>1</v>
      </c>
      <c r="E47" s="29" t="n">
        <v>1</v>
      </c>
      <c r="F47" s="29" t="n">
        <v>0</v>
      </c>
      <c r="G47" s="29" t="n">
        <v>640</v>
      </c>
      <c r="H47" s="29" t="n">
        <v>160</v>
      </c>
      <c r="I47" s="29" t="n">
        <v>170</v>
      </c>
      <c r="J47" s="29" t="n">
        <v>30</v>
      </c>
      <c r="K47" s="30" t="n">
        <v>756000</v>
      </c>
      <c r="L47" s="29" t="n">
        <v>579</v>
      </c>
    </row>
    <row r="48" customFormat="false" ht="20.25" hidden="false" customHeight="false" outlineLevel="0" collapsed="false">
      <c r="A48" s="31" t="s">
        <v>28</v>
      </c>
      <c r="B48" s="31" t="n">
        <v>3</v>
      </c>
      <c r="C48" s="31" t="n">
        <v>50</v>
      </c>
      <c r="D48" s="31" t="n">
        <v>1</v>
      </c>
      <c r="E48" s="31" t="n">
        <v>1</v>
      </c>
      <c r="F48" s="31" t="n">
        <v>0</v>
      </c>
      <c r="G48" s="31" t="n">
        <v>512</v>
      </c>
      <c r="H48" s="31" t="n">
        <v>192</v>
      </c>
      <c r="I48" s="31" t="n">
        <v>216</v>
      </c>
      <c r="J48" s="31" t="n">
        <v>80</v>
      </c>
      <c r="K48" s="32" t="n">
        <v>828800</v>
      </c>
      <c r="L48" s="31" t="n">
        <v>519.2</v>
      </c>
    </row>
    <row r="49" customFormat="false" ht="20.25" hidden="false" customHeight="false" outlineLevel="0" collapsed="false">
      <c r="A49" s="29" t="s">
        <v>29</v>
      </c>
      <c r="B49" s="29" t="n">
        <v>4</v>
      </c>
      <c r="C49" s="29" t="n">
        <v>50</v>
      </c>
      <c r="D49" s="29" t="n">
        <v>1</v>
      </c>
      <c r="E49" s="29" t="n">
        <v>1</v>
      </c>
      <c r="F49" s="29" t="n">
        <v>0</v>
      </c>
      <c r="G49" s="29" t="n">
        <v>409.6</v>
      </c>
      <c r="H49" s="29" t="n">
        <v>204.8</v>
      </c>
      <c r="I49" s="29" t="n">
        <v>243.2</v>
      </c>
      <c r="J49" s="29" t="n">
        <v>142.4</v>
      </c>
      <c r="K49" s="30" t="n">
        <v>855040</v>
      </c>
      <c r="L49" s="29" t="n">
        <v>462.08</v>
      </c>
    </row>
    <row r="50" customFormat="false" ht="20.25" hidden="false" customHeight="false" outlineLevel="0" collapsed="false">
      <c r="A50" s="31" t="s">
        <v>30</v>
      </c>
      <c r="B50" s="31" t="n">
        <v>5</v>
      </c>
      <c r="C50" s="31" t="n">
        <v>50</v>
      </c>
      <c r="D50" s="31" t="n">
        <v>1</v>
      </c>
      <c r="E50" s="31" t="n">
        <v>1</v>
      </c>
      <c r="F50" s="31" t="n">
        <v>0</v>
      </c>
      <c r="G50" s="31" t="n">
        <v>327.68</v>
      </c>
      <c r="H50" s="31" t="n">
        <v>204.8</v>
      </c>
      <c r="I50" s="31" t="n">
        <v>256</v>
      </c>
      <c r="J50" s="31" t="n">
        <v>211.52</v>
      </c>
      <c r="K50" s="32" t="n">
        <v>847872</v>
      </c>
      <c r="L50" s="31" t="n">
        <v>408.58</v>
      </c>
    </row>
    <row r="51" customFormat="false" ht="20.25" hidden="false" customHeight="false" outlineLevel="0" collapsed="false">
      <c r="A51" s="29" t="s">
        <v>31</v>
      </c>
      <c r="B51" s="29" t="n">
        <v>6</v>
      </c>
      <c r="C51" s="29" t="n">
        <v>50</v>
      </c>
      <c r="D51" s="29" t="n">
        <v>1</v>
      </c>
      <c r="E51" s="29" t="n">
        <v>1</v>
      </c>
      <c r="F51" s="29" t="n">
        <v>0</v>
      </c>
      <c r="G51" s="29" t="n">
        <v>262.14</v>
      </c>
      <c r="H51" s="29" t="n">
        <v>196.61</v>
      </c>
      <c r="I51" s="29" t="n">
        <v>258.05</v>
      </c>
      <c r="J51" s="29" t="n">
        <v>283.2</v>
      </c>
      <c r="K51" s="30" t="n">
        <v>817561.6</v>
      </c>
      <c r="L51" s="29" t="n">
        <v>359.22</v>
      </c>
    </row>
    <row r="52" customFormat="false" ht="20.25" hidden="false" customHeight="false" outlineLevel="0" collapsed="false">
      <c r="A52" s="31" t="s">
        <v>32</v>
      </c>
      <c r="B52" s="31" t="n">
        <v>7</v>
      </c>
      <c r="C52" s="31" t="n">
        <v>50</v>
      </c>
      <c r="D52" s="31" t="n">
        <v>1</v>
      </c>
      <c r="E52" s="31" t="n">
        <v>1</v>
      </c>
      <c r="F52" s="31" t="n">
        <v>0</v>
      </c>
      <c r="G52" s="31" t="n">
        <v>209.72</v>
      </c>
      <c r="H52" s="31" t="n">
        <v>183.5</v>
      </c>
      <c r="I52" s="31" t="n">
        <v>252.31</v>
      </c>
      <c r="J52" s="31" t="n">
        <v>354.47</v>
      </c>
      <c r="K52" s="32" t="n">
        <v>772014.08</v>
      </c>
      <c r="L52" s="31" t="n">
        <v>314.25</v>
      </c>
    </row>
    <row r="53" customFormat="false" ht="20.25" hidden="false" customHeight="false" outlineLevel="0" collapsed="false">
      <c r="A53" s="29" t="s">
        <v>33</v>
      </c>
      <c r="B53" s="29" t="n">
        <v>8</v>
      </c>
      <c r="C53" s="29" t="n">
        <v>50</v>
      </c>
      <c r="D53" s="29" t="n">
        <v>1</v>
      </c>
      <c r="E53" s="29" t="n">
        <v>1</v>
      </c>
      <c r="F53" s="29" t="n">
        <v>0.01</v>
      </c>
      <c r="G53" s="29" t="n">
        <v>167.77</v>
      </c>
      <c r="H53" s="29" t="n">
        <v>167.77</v>
      </c>
      <c r="I53" s="29" t="n">
        <v>241.17</v>
      </c>
      <c r="J53" s="29" t="n">
        <v>423.28</v>
      </c>
      <c r="K53" s="30" t="n">
        <v>717225.98</v>
      </c>
      <c r="L53" s="29" t="n">
        <v>273.68</v>
      </c>
    </row>
    <row r="54" customFormat="false" ht="20.25" hidden="false" customHeight="false" outlineLevel="0" collapsed="false">
      <c r="A54" s="31" t="s">
        <v>34</v>
      </c>
      <c r="B54" s="31" t="n">
        <v>9</v>
      </c>
      <c r="C54" s="31" t="n">
        <v>50</v>
      </c>
      <c r="D54" s="31" t="n">
        <v>1</v>
      </c>
      <c r="E54" s="31" t="n">
        <v>1</v>
      </c>
      <c r="F54" s="31" t="n">
        <v>0.01</v>
      </c>
      <c r="G54" s="31" t="n">
        <v>134.22</v>
      </c>
      <c r="H54" s="31" t="n">
        <v>150.99</v>
      </c>
      <c r="I54" s="31" t="n">
        <v>226.49</v>
      </c>
      <c r="J54" s="31" t="n">
        <v>488.29</v>
      </c>
      <c r="K54" s="32" t="n">
        <v>657666.87</v>
      </c>
      <c r="L54" s="31" t="n">
        <v>237.4</v>
      </c>
    </row>
    <row r="55" customFormat="false" ht="20.25" hidden="false" customHeight="false" outlineLevel="0" collapsed="false">
      <c r="A55" s="29" t="s">
        <v>35</v>
      </c>
      <c r="B55" s="29" t="n">
        <v>10</v>
      </c>
      <c r="C55" s="29" t="n">
        <v>50</v>
      </c>
      <c r="D55" s="29" t="n">
        <v>1</v>
      </c>
      <c r="E55" s="29" t="n">
        <v>1</v>
      </c>
      <c r="F55" s="29" t="n">
        <v>0.01</v>
      </c>
      <c r="G55" s="29" t="n">
        <v>107.37</v>
      </c>
      <c r="H55" s="29" t="n">
        <v>134.22</v>
      </c>
      <c r="I55" s="29" t="n">
        <v>209.72</v>
      </c>
      <c r="J55" s="29" t="n">
        <v>548.69</v>
      </c>
      <c r="K55" s="30" t="n">
        <v>596597.8</v>
      </c>
      <c r="L55" s="29" t="n">
        <v>205.19</v>
      </c>
    </row>
    <row r="56" customFormat="false" ht="15" hidden="false" customHeight="false" outlineLevel="0" collapsed="false">
      <c r="K56" s="33" t="n">
        <f aca="false">SUM(K45:K55)</f>
        <v>7868778.33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6:D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8" activeCellId="0" sqref="D8"/>
    </sheetView>
  </sheetViews>
  <sheetFormatPr defaultColWidth="8.390625" defaultRowHeight="15" customHeight="true" zeroHeight="false" outlineLevelRow="0" outlineLevelCol="0"/>
  <sheetData>
    <row r="6" customFormat="false" ht="15" hidden="false" customHeight="false" outlineLevel="0" collapsed="false">
      <c r="C6" s="1" t="s">
        <v>36</v>
      </c>
      <c r="D6" s="1" t="n">
        <v>0.00465</v>
      </c>
    </row>
    <row r="7" customFormat="false" ht="15" hidden="false" customHeight="false" outlineLevel="0" collapsed="false">
      <c r="C7" s="1" t="s">
        <v>37</v>
      </c>
      <c r="D7" s="1" t="n">
        <v>0.00793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true" showOutlineSymbols="true" defaultGridColor="true" view="normal" topLeftCell="D1" colorId="64" zoomScale="110" zoomScaleNormal="110" zoomScalePageLayoutView="100" workbookViewId="0">
      <selection pane="topLeft" activeCell="H29" activeCellId="0" sqref="H29"/>
    </sheetView>
  </sheetViews>
  <sheetFormatPr defaultColWidth="8.390625" defaultRowHeight="15" customHeight="true" zeroHeight="false" outlineLevelRow="0" outlineLevelCol="0"/>
  <cols>
    <col collapsed="false" customWidth="true" hidden="false" outlineLevel="0" max="6" min="1" style="1" width="18"/>
    <col collapsed="false" customWidth="true" hidden="false" outlineLevel="0" max="7" min="7" style="1" width="21.43"/>
    <col collapsed="false" customWidth="true" hidden="false" outlineLevel="0" max="11" min="8" style="1" width="18"/>
  </cols>
  <sheetData>
    <row r="1" customFormat="false" ht="17.35" hidden="false" customHeight="false" outlineLevel="0" collapsed="false">
      <c r="A1" s="2" t="s">
        <v>0</v>
      </c>
      <c r="B1" s="3"/>
      <c r="C1" s="3"/>
      <c r="D1" s="3"/>
      <c r="E1" s="3"/>
      <c r="F1" s="3"/>
      <c r="G1" s="4" t="s">
        <v>1</v>
      </c>
      <c r="H1" s="5" t="s">
        <v>2</v>
      </c>
      <c r="I1" s="3"/>
      <c r="J1" s="3"/>
      <c r="K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6" t="s">
        <v>3</v>
      </c>
      <c r="B3" s="3"/>
      <c r="C3" s="3"/>
      <c r="D3" s="7" t="s">
        <v>4</v>
      </c>
      <c r="E3" s="7" t="s">
        <v>5</v>
      </c>
      <c r="F3" s="7" t="s">
        <v>6</v>
      </c>
      <c r="G3" s="7" t="s">
        <v>7</v>
      </c>
      <c r="H3" s="3"/>
      <c r="I3" s="3"/>
      <c r="J3" s="3"/>
      <c r="K3" s="3"/>
    </row>
    <row r="4" customFormat="false" ht="15" hidden="false" customHeight="false" outlineLevel="0" collapsed="false">
      <c r="A4" s="3" t="s">
        <v>8</v>
      </c>
      <c r="B4" s="8" t="n">
        <v>1000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 t="s">
        <v>9</v>
      </c>
      <c r="B5" s="9" t="n">
        <v>10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 t="s">
        <v>10</v>
      </c>
      <c r="B6" s="9" t="n">
        <v>1</v>
      </c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6" t="s">
        <v>11</v>
      </c>
      <c r="I7" s="3"/>
      <c r="J7" s="3"/>
      <c r="K7" s="3"/>
    </row>
    <row r="8" customFormat="false" ht="15" hidden="false" customHeight="false" outlineLevel="0" collapsed="false">
      <c r="A8" s="3"/>
      <c r="B8" s="3"/>
      <c r="C8" s="7" t="s">
        <v>4</v>
      </c>
      <c r="D8" s="10" t="n">
        <v>0.8</v>
      </c>
      <c r="E8" s="10" t="n">
        <v>0.1</v>
      </c>
      <c r="F8" s="10" t="n">
        <v>0.1</v>
      </c>
      <c r="G8" s="10" t="n">
        <v>0</v>
      </c>
      <c r="H8" s="11" t="n">
        <f aca="false">SUM(D8:G8)</f>
        <v>1</v>
      </c>
      <c r="I8" s="3"/>
      <c r="J8" s="12" t="n">
        <f aca="false">SUM($D8:$G8)</f>
        <v>1</v>
      </c>
      <c r="K8" s="3" t="str">
        <f aca="false">IF(ABS(J8-1)&lt;0.000001,"OK","Check")</f>
        <v>OK</v>
      </c>
    </row>
    <row r="9" customFormat="false" ht="15" hidden="false" customHeight="false" outlineLevel="0" collapsed="false">
      <c r="A9" s="3"/>
      <c r="B9" s="3"/>
      <c r="C9" s="7" t="s">
        <v>5</v>
      </c>
      <c r="D9" s="10" t="n">
        <v>0</v>
      </c>
      <c r="E9" s="10" t="n">
        <v>0.8</v>
      </c>
      <c r="F9" s="10" t="n">
        <v>0.1</v>
      </c>
      <c r="G9" s="10" t="n">
        <v>0.1</v>
      </c>
      <c r="H9" s="11" t="n">
        <f aca="false">SUM(D9:G9)</f>
        <v>1</v>
      </c>
      <c r="I9" s="3"/>
      <c r="J9" s="12" t="n">
        <f aca="false">SUM($D9:$G9)</f>
        <v>1</v>
      </c>
      <c r="K9" s="3" t="str">
        <f aca="false">IF(ABS(J9-1)&lt;0.000001,"OK","Check")</f>
        <v>OK</v>
      </c>
    </row>
    <row r="10" customFormat="false" ht="15" hidden="false" customHeight="false" outlineLevel="0" collapsed="false">
      <c r="A10" s="3"/>
      <c r="B10" s="3"/>
      <c r="C10" s="7" t="s">
        <v>6</v>
      </c>
      <c r="D10" s="10" t="n">
        <v>0</v>
      </c>
      <c r="E10" s="10" t="n">
        <v>0</v>
      </c>
      <c r="F10" s="10" t="n">
        <v>0.8</v>
      </c>
      <c r="G10" s="10" t="n">
        <v>0.2</v>
      </c>
      <c r="H10" s="11" t="n">
        <f aca="false">SUM(D10:G10)</f>
        <v>1</v>
      </c>
      <c r="I10" s="3"/>
      <c r="J10" s="12" t="n">
        <f aca="false">SUM($D10:$G10)</f>
        <v>1</v>
      </c>
      <c r="K10" s="3" t="str">
        <f aca="false">IF(ABS(J10-1)&lt;0.000001,"OK","Check")</f>
        <v>OK</v>
      </c>
    </row>
    <row r="11" customFormat="false" ht="15" hidden="false" customHeight="false" outlineLevel="0" collapsed="false">
      <c r="A11" s="3"/>
      <c r="B11" s="3"/>
      <c r="C11" s="7" t="s">
        <v>7</v>
      </c>
      <c r="D11" s="10" t="n">
        <v>0</v>
      </c>
      <c r="E11" s="10" t="n">
        <v>0</v>
      </c>
      <c r="F11" s="10" t="n">
        <v>0</v>
      </c>
      <c r="G11" s="10" t="n">
        <v>1</v>
      </c>
      <c r="H11" s="11" t="n">
        <f aca="false">SUM(D11:G11)</f>
        <v>1</v>
      </c>
      <c r="I11" s="3"/>
      <c r="J11" s="12" t="n">
        <f aca="false">SUM($D11:$G11)</f>
        <v>1</v>
      </c>
      <c r="K11" s="3" t="str">
        <f aca="false">IF(ABS(J11-1)&lt;0.000001,"OK","Check")</f>
        <v>OK</v>
      </c>
    </row>
    <row r="12" customFormat="false" ht="15" hidden="false" customHeight="false" outlineLevel="0" collapsed="false">
      <c r="A12" s="3"/>
      <c r="B12" s="3"/>
      <c r="C12" s="3"/>
      <c r="D12" s="7" t="s">
        <v>4</v>
      </c>
      <c r="E12" s="7" t="s">
        <v>5</v>
      </c>
      <c r="F12" s="7" t="s">
        <v>6</v>
      </c>
      <c r="G12" s="7" t="s">
        <v>7</v>
      </c>
      <c r="H12" s="3"/>
      <c r="I12" s="3"/>
      <c r="J12" s="3"/>
      <c r="K12" s="3"/>
    </row>
    <row r="13" customFormat="false" ht="15" hidden="false" customHeight="false" outlineLevel="0" collapsed="false">
      <c r="A13" s="6" t="s">
        <v>38</v>
      </c>
      <c r="B13" s="3"/>
      <c r="C13" s="3"/>
      <c r="D13" s="13" t="n">
        <v>0.85</v>
      </c>
      <c r="E13" s="13" t="n">
        <v>0.7</v>
      </c>
      <c r="F13" s="13" t="n">
        <v>0.6</v>
      </c>
      <c r="G13" s="13" t="n">
        <v>0</v>
      </c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14" t="s">
        <v>13</v>
      </c>
      <c r="B16" s="3"/>
      <c r="C16" s="3"/>
      <c r="D16" s="3"/>
      <c r="E16" s="3"/>
      <c r="F16" s="3"/>
      <c r="G16" s="3"/>
      <c r="H16" s="3"/>
      <c r="I16" s="3"/>
      <c r="J16" s="6" t="s">
        <v>14</v>
      </c>
      <c r="K16" s="3"/>
    </row>
    <row r="17" customFormat="false" ht="15" hidden="false" customHeight="false" outlineLevel="0" collapsed="false">
      <c r="A17" s="7" t="s">
        <v>15</v>
      </c>
      <c r="B17" s="7" t="s">
        <v>4</v>
      </c>
      <c r="C17" s="7" t="s">
        <v>5</v>
      </c>
      <c r="D17" s="7" t="s">
        <v>6</v>
      </c>
      <c r="E17" s="7" t="s">
        <v>7</v>
      </c>
      <c r="F17" s="7" t="s">
        <v>16</v>
      </c>
      <c r="G17" s="7" t="s">
        <v>17</v>
      </c>
      <c r="H17" s="7" t="s">
        <v>39</v>
      </c>
      <c r="I17" s="3" t="s">
        <v>40</v>
      </c>
      <c r="J17" s="3" t="s">
        <v>19</v>
      </c>
      <c r="K17" s="3" t="s">
        <v>20</v>
      </c>
    </row>
    <row r="18" customFormat="false" ht="15" hidden="false" customHeight="false" outlineLevel="0" collapsed="false">
      <c r="A18" s="15" t="n">
        <v>0</v>
      </c>
      <c r="B18" s="16" t="n">
        <f aca="false">IF(1=1,$B$4,0)</f>
        <v>1000</v>
      </c>
      <c r="C18" s="17" t="n">
        <f aca="false">IF(2=1,$B$4,0)</f>
        <v>0</v>
      </c>
      <c r="D18" s="17" t="n">
        <f aca="false">IF(3=1,$B$4,0)</f>
        <v>0</v>
      </c>
      <c r="E18" s="17" t="n">
        <f aca="false">IF(4=1,$B$4,0)</f>
        <v>0</v>
      </c>
      <c r="F18" s="17" t="n">
        <f aca="false">SUM(B18:D18)</f>
        <v>1000</v>
      </c>
      <c r="G18" s="17" t="n">
        <f aca="false">SUM(B18:E18)</f>
        <v>1000</v>
      </c>
      <c r="H18" s="18" t="n">
        <f aca="false">SUMPRODUCT(B18:E18,$D$13:$G$13)</f>
        <v>850</v>
      </c>
      <c r="I18" s="3" t="n">
        <f aca="false">B6*$B$4 + C6*$C$4 + D6*$D$4</f>
        <v>1000</v>
      </c>
      <c r="J18" s="19" t="n">
        <f aca="false">G18</f>
        <v>1000</v>
      </c>
      <c r="K18" s="3" t="str">
        <f aca="false">IF(ABS(G18-$B$4)&lt;0.000001,"OK","Check")</f>
        <v>OK</v>
      </c>
    </row>
    <row r="19" customFormat="false" ht="15" hidden="false" customHeight="false" outlineLevel="0" collapsed="false">
      <c r="A19" s="15" t="n">
        <v>1</v>
      </c>
      <c r="B19" s="16" t="n">
        <f aca="false" t="array" ref="B19:B19">SUMPRODUCT($B18:$E18,TRANSPOSE(D$8:D$11))</f>
        <v>800</v>
      </c>
      <c r="C19" s="16" t="n">
        <f aca="false" t="array" ref="C19:C19">SUMPRODUCT($B18:$E18,TRANSPOSE(E$8:E$11))</f>
        <v>100</v>
      </c>
      <c r="D19" s="16" t="n">
        <f aca="false" t="array" ref="D19:D19">SUMPRODUCT($B18:$E18,TRANSPOSE(F$8:F$11))</f>
        <v>100</v>
      </c>
      <c r="E19" s="16" t="n">
        <f aca="false" t="array" ref="E19:E19">SUMPRODUCT($B18:$E18,TRANSPOSE(G$8:G$11))</f>
        <v>0</v>
      </c>
      <c r="F19" s="16" t="n">
        <f aca="false">SUM(B19:D19)</f>
        <v>1000</v>
      </c>
      <c r="G19" s="17" t="n">
        <f aca="false">SUM(B19:E19)</f>
        <v>1000</v>
      </c>
      <c r="H19" s="18" t="n">
        <f aca="false">SUMPRODUCT(B19:E19,$D$13:$G$13)</f>
        <v>810</v>
      </c>
      <c r="I19" s="3" t="n">
        <f aca="false">B7*$B$4 + C7*$C$4 + D7*$D$4</f>
        <v>0</v>
      </c>
      <c r="J19" s="19" t="n">
        <f aca="false">G19</f>
        <v>1000</v>
      </c>
      <c r="K19" s="3" t="str">
        <f aca="false">IF(ABS(G19-$B$4)&lt;0.000001,"OK","Check")</f>
        <v>OK</v>
      </c>
    </row>
    <row r="20" customFormat="false" ht="15" hidden="false" customHeight="false" outlineLevel="0" collapsed="false">
      <c r="A20" s="15" t="n">
        <v>2</v>
      </c>
      <c r="B20" s="16" t="n">
        <f aca="false" t="array" ref="B20:B20">SUMPRODUCT($B19:$E19,TRANSPOSE(D$8:D$11))</f>
        <v>640</v>
      </c>
      <c r="C20" s="16" t="n">
        <f aca="false" t="array" ref="C20:C20">SUMPRODUCT($B19:$E19,TRANSPOSE(E$8:E$11))</f>
        <v>160</v>
      </c>
      <c r="D20" s="16" t="n">
        <f aca="false" t="array" ref="D20:D20">SUMPRODUCT($B19:$E19,TRANSPOSE(F$8:F$11))</f>
        <v>170</v>
      </c>
      <c r="E20" s="16" t="n">
        <f aca="false" t="array" ref="E20:E20">SUMPRODUCT($B19:$E19,TRANSPOSE(G$8:G$11))</f>
        <v>30</v>
      </c>
      <c r="F20" s="16" t="n">
        <f aca="false">SUM(B20:D20)</f>
        <v>970</v>
      </c>
      <c r="G20" s="17" t="n">
        <f aca="false">SUM(B20:E20)</f>
        <v>1000</v>
      </c>
      <c r="H20" s="18" t="n">
        <f aca="false">SUMPRODUCT(B20:E20,$D$13:$G$13)</f>
        <v>758</v>
      </c>
      <c r="I20" s="3" t="e">
        <f aca="false">B8*$B$4 + C8*$C$4 + D8*$D$4</f>
        <v>#VALUE!</v>
      </c>
      <c r="J20" s="19" t="n">
        <f aca="false">G20</f>
        <v>1000</v>
      </c>
      <c r="K20" s="3" t="str">
        <f aca="false">IF(ABS(G20-$B$4)&lt;0.000001,"OK","Check")</f>
        <v>OK</v>
      </c>
    </row>
    <row r="21" customFormat="false" ht="15" hidden="false" customHeight="false" outlineLevel="0" collapsed="false">
      <c r="A21" s="15" t="n">
        <v>3</v>
      </c>
      <c r="B21" s="16" t="n">
        <f aca="false" t="array" ref="B21:B21">SUMPRODUCT($B20:$E20,TRANSPOSE(D$8:D$11))</f>
        <v>512</v>
      </c>
      <c r="C21" s="16" t="n">
        <f aca="false" t="array" ref="C21:C21">SUMPRODUCT($B20:$E20,TRANSPOSE(E$8:E$11))</f>
        <v>192</v>
      </c>
      <c r="D21" s="16" t="n">
        <f aca="false" t="array" ref="D21:D21">SUMPRODUCT($B20:$E20,TRANSPOSE(F$8:F$11))</f>
        <v>216</v>
      </c>
      <c r="E21" s="16" t="n">
        <f aca="false" t="array" ref="E21:E21">SUMPRODUCT($B20:$E20,TRANSPOSE(G$8:G$11))</f>
        <v>80</v>
      </c>
      <c r="F21" s="16" t="n">
        <f aca="false">SUM(B21:D21)</f>
        <v>920</v>
      </c>
      <c r="G21" s="17" t="n">
        <f aca="false">SUM(B21:E21)</f>
        <v>1000</v>
      </c>
      <c r="H21" s="18" t="n">
        <f aca="false">SUMPRODUCT(B21:E21,$D$13:$G$13)</f>
        <v>699.2</v>
      </c>
      <c r="I21" s="3" t="e">
        <f aca="false">B9*$B$4 + C9*$C$4 + D9*$D$4</f>
        <v>#VALUE!</v>
      </c>
      <c r="J21" s="19" t="n">
        <f aca="false">G21</f>
        <v>1000</v>
      </c>
      <c r="K21" s="3" t="str">
        <f aca="false">IF(ABS(G21-$B$4)&lt;0.000001,"OK","Check")</f>
        <v>OK</v>
      </c>
    </row>
    <row r="22" customFormat="false" ht="15" hidden="false" customHeight="false" outlineLevel="0" collapsed="false">
      <c r="A22" s="15" t="n">
        <v>4</v>
      </c>
      <c r="B22" s="16" t="n">
        <f aca="false" t="array" ref="B22:B22">SUMPRODUCT($B21:$E21,TRANSPOSE(D$8:D$11))</f>
        <v>409.6</v>
      </c>
      <c r="C22" s="16" t="n">
        <f aca="false" t="array" ref="C22:C22">SUMPRODUCT($B21:$E21,TRANSPOSE(E$8:E$11))</f>
        <v>204.8</v>
      </c>
      <c r="D22" s="16" t="n">
        <f aca="false" t="array" ref="D22:D22">SUMPRODUCT($B21:$E21,TRANSPOSE(F$8:F$11))</f>
        <v>243.2</v>
      </c>
      <c r="E22" s="16" t="n">
        <f aca="false" t="array" ref="E22:E22">SUMPRODUCT($B21:$E21,TRANSPOSE(G$8:G$11))</f>
        <v>142.4</v>
      </c>
      <c r="F22" s="16" t="n">
        <f aca="false">SUM(B22:D22)</f>
        <v>857.6</v>
      </c>
      <c r="G22" s="17" t="n">
        <f aca="false">SUM(B22:E22)</f>
        <v>1000</v>
      </c>
      <c r="H22" s="18" t="n">
        <f aca="false">SUMPRODUCT(B22:E22,$D$13:$G$13)</f>
        <v>637.44</v>
      </c>
      <c r="I22" s="3" t="e">
        <f aca="false">B10*$B$4 + C10*$C$4 + D10*$D$4</f>
        <v>#VALUE!</v>
      </c>
      <c r="J22" s="19" t="n">
        <f aca="false">G22</f>
        <v>1000</v>
      </c>
      <c r="K22" s="3" t="str">
        <f aca="false">IF(ABS(G22-$B$4)&lt;0.000001,"OK","Check")</f>
        <v>OK</v>
      </c>
    </row>
    <row r="23" customFormat="false" ht="15" hidden="false" customHeight="false" outlineLevel="0" collapsed="false">
      <c r="A23" s="15" t="n">
        <v>5</v>
      </c>
      <c r="B23" s="16" t="n">
        <f aca="false" t="array" ref="B23:B23">SUMPRODUCT($B22:$E22,TRANSPOSE(D$8:D$11))</f>
        <v>327.68</v>
      </c>
      <c r="C23" s="16" t="n">
        <f aca="false" t="array" ref="C23:C23">SUMPRODUCT($B22:$E22,TRANSPOSE(E$8:E$11))</f>
        <v>204.8</v>
      </c>
      <c r="D23" s="16" t="n">
        <f aca="false" t="array" ref="D23:D23">SUMPRODUCT($B22:$E22,TRANSPOSE(F$8:F$11))</f>
        <v>256</v>
      </c>
      <c r="E23" s="16" t="n">
        <f aca="false" t="array" ref="E23:E23">SUMPRODUCT($B22:$E22,TRANSPOSE(G$8:G$11))</f>
        <v>211.52</v>
      </c>
      <c r="F23" s="16" t="n">
        <f aca="false">SUM(B23:D23)</f>
        <v>788.48</v>
      </c>
      <c r="G23" s="17" t="n">
        <f aca="false">SUM(B23:E23)</f>
        <v>1000</v>
      </c>
      <c r="H23" s="18" t="n">
        <f aca="false">SUMPRODUCT(B23:E23,$D$13:$G$13)</f>
        <v>575.488</v>
      </c>
      <c r="I23" s="3" t="e">
        <f aca="false">B11*$B$4 + C11*$C$4 + D11*$D$4</f>
        <v>#VALUE!</v>
      </c>
      <c r="J23" s="19" t="n">
        <f aca="false">G23</f>
        <v>1000</v>
      </c>
      <c r="K23" s="3" t="str">
        <f aca="false">IF(ABS(G23-$B$4)&lt;0.000001,"OK","Check")</f>
        <v>OK</v>
      </c>
    </row>
    <row r="24" customFormat="false" ht="15" hidden="false" customHeight="false" outlineLevel="0" collapsed="false">
      <c r="A24" s="15" t="n">
        <v>6</v>
      </c>
      <c r="B24" s="16" t="n">
        <f aca="false" t="array" ref="B24:B24">SUMPRODUCT($B23:$E23,TRANSPOSE(D$8:D$11))</f>
        <v>262.144</v>
      </c>
      <c r="C24" s="16" t="n">
        <f aca="false" t="array" ref="C24:C24">SUMPRODUCT($B23:$E23,TRANSPOSE(E$8:E$11))</f>
        <v>196.608</v>
      </c>
      <c r="D24" s="16" t="n">
        <f aca="false" t="array" ref="D24:D24">SUMPRODUCT($B23:$E23,TRANSPOSE(F$8:F$11))</f>
        <v>258.048</v>
      </c>
      <c r="E24" s="16" t="n">
        <f aca="false" t="array" ref="E24:E24">SUMPRODUCT($B23:$E23,TRANSPOSE(G$8:G$11))</f>
        <v>283.2</v>
      </c>
      <c r="F24" s="16" t="n">
        <f aca="false">SUM(B24:D24)</f>
        <v>716.8</v>
      </c>
      <c r="G24" s="17" t="n">
        <f aca="false">SUM(B24:E24)</f>
        <v>1000</v>
      </c>
      <c r="H24" s="18" t="n">
        <f aca="false">SUMPRODUCT(B24:E24,$D$13:$G$13)</f>
        <v>515.2768</v>
      </c>
      <c r="I24" s="3" t="e">
        <f aca="false">B12*$B$4 + C12*$C$4 + D12*$D$4</f>
        <v>#VALUE!</v>
      </c>
      <c r="J24" s="19" t="n">
        <f aca="false">G24</f>
        <v>1000</v>
      </c>
      <c r="K24" s="3" t="str">
        <f aca="false">IF(ABS(G24-$B$4)&lt;0.000001,"OK","Check")</f>
        <v>OK</v>
      </c>
    </row>
    <row r="25" customFormat="false" ht="15" hidden="false" customHeight="false" outlineLevel="0" collapsed="false">
      <c r="A25" s="15" t="n">
        <v>7</v>
      </c>
      <c r="B25" s="16" t="n">
        <f aca="false" t="array" ref="B25:B25">SUMPRODUCT($B24:$E24,TRANSPOSE(D$8:D$11))</f>
        <v>209.7152</v>
      </c>
      <c r="C25" s="16" t="n">
        <f aca="false" t="array" ref="C25:C25">SUMPRODUCT($B24:$E24,TRANSPOSE(E$8:E$11))</f>
        <v>183.5008</v>
      </c>
      <c r="D25" s="16" t="n">
        <f aca="false" t="array" ref="D25:D25">SUMPRODUCT($B24:$E24,TRANSPOSE(F$8:F$11))</f>
        <v>252.3136</v>
      </c>
      <c r="E25" s="16" t="n">
        <f aca="false" t="array" ref="E25:E25">SUMPRODUCT($B24:$E24,TRANSPOSE(G$8:G$11))</f>
        <v>354.4704</v>
      </c>
      <c r="F25" s="16" t="n">
        <f aca="false">SUM(B25:D25)</f>
        <v>645.5296</v>
      </c>
      <c r="G25" s="17" t="n">
        <f aca="false">SUM(B25:E25)</f>
        <v>1000</v>
      </c>
      <c r="H25" s="18" t="n">
        <f aca="false">SUMPRODUCT(B25:E25,$D$13:$G$13)</f>
        <v>458.09664</v>
      </c>
      <c r="I25" s="3" t="n">
        <f aca="false">B13*$B$4 + C13*$C$4 + D13*$D$4</f>
        <v>0</v>
      </c>
      <c r="J25" s="19" t="n">
        <f aca="false">G25</f>
        <v>1000</v>
      </c>
      <c r="K25" s="3" t="str">
        <f aca="false">IF(ABS(G25-$B$4)&lt;0.000001,"OK","Check")</f>
        <v>OK</v>
      </c>
    </row>
    <row r="26" customFormat="false" ht="15" hidden="false" customHeight="false" outlineLevel="0" collapsed="false">
      <c r="A26" s="15" t="n">
        <v>8</v>
      </c>
      <c r="B26" s="16" t="n">
        <f aca="false" t="array" ref="B26:B26">SUMPRODUCT($B25:$E25,TRANSPOSE(D$8:D$11))</f>
        <v>167.77216</v>
      </c>
      <c r="C26" s="16" t="n">
        <f aca="false" t="array" ref="C26:C26">SUMPRODUCT($B25:$E25,TRANSPOSE(E$8:E$11))</f>
        <v>167.77216</v>
      </c>
      <c r="D26" s="16" t="n">
        <f aca="false" t="array" ref="D26:D26">SUMPRODUCT($B25:$E25,TRANSPOSE(F$8:F$11))</f>
        <v>241.17248</v>
      </c>
      <c r="E26" s="16" t="n">
        <f aca="false" t="array" ref="E26:E26">SUMPRODUCT($B25:$E25,TRANSPOSE(G$8:G$11))</f>
        <v>423.2832</v>
      </c>
      <c r="F26" s="16" t="n">
        <f aca="false">SUM(B26:D26)</f>
        <v>576.7168</v>
      </c>
      <c r="G26" s="17" t="n">
        <f aca="false">SUM(B26:E26)</f>
        <v>1000</v>
      </c>
      <c r="H26" s="18" t="n">
        <f aca="false">SUMPRODUCT(B26:E26,$D$13:$G$13)</f>
        <v>404.750336</v>
      </c>
      <c r="I26" s="3" t="n">
        <f aca="false">B14*$B$4 + C14*$C$4 + D14*$D$4</f>
        <v>0</v>
      </c>
      <c r="J26" s="19" t="n">
        <f aca="false">G26</f>
        <v>1000</v>
      </c>
      <c r="K26" s="3" t="str">
        <f aca="false">IF(ABS(G26-$B$4)&lt;0.000001,"OK","Check")</f>
        <v>OK</v>
      </c>
    </row>
    <row r="27" customFormat="false" ht="15" hidden="false" customHeight="false" outlineLevel="0" collapsed="false">
      <c r="A27" s="15" t="n">
        <v>9</v>
      </c>
      <c r="B27" s="16" t="n">
        <f aca="false" t="array" ref="B27:B27">SUMPRODUCT($B26:$E26,TRANSPOSE(D$8:D$11))</f>
        <v>134.217728</v>
      </c>
      <c r="C27" s="16" t="n">
        <f aca="false" t="array" ref="C27:C27">SUMPRODUCT($B26:$E26,TRANSPOSE(E$8:E$11))</f>
        <v>150.994944</v>
      </c>
      <c r="D27" s="16" t="n">
        <f aca="false" t="array" ref="D27:D27">SUMPRODUCT($B26:$E26,TRANSPOSE(F$8:F$11))</f>
        <v>226.492416</v>
      </c>
      <c r="E27" s="16" t="n">
        <f aca="false" t="array" ref="E27:E27">SUMPRODUCT($B26:$E26,TRANSPOSE(G$8:G$11))</f>
        <v>488.294912</v>
      </c>
      <c r="F27" s="16" t="n">
        <f aca="false">SUM(B27:D27)</f>
        <v>511.705088</v>
      </c>
      <c r="G27" s="17" t="n">
        <f aca="false">SUM(B27:E27)</f>
        <v>1000</v>
      </c>
      <c r="H27" s="18" t="n">
        <f aca="false">SUMPRODUCT(B27:E27,$D$13:$G$13)</f>
        <v>355.6769792</v>
      </c>
      <c r="I27" s="3" t="n">
        <f aca="false">B15*$B$4 + C15*$C$4 + D15*$D$4</f>
        <v>0</v>
      </c>
      <c r="J27" s="19" t="n">
        <f aca="false">G27</f>
        <v>1000</v>
      </c>
      <c r="K27" s="3" t="str">
        <f aca="false">IF(ABS(G27-$B$4)&lt;0.000001,"OK","Check")</f>
        <v>OK</v>
      </c>
    </row>
    <row r="28" customFormat="false" ht="15" hidden="false" customHeight="false" outlineLevel="0" collapsed="false">
      <c r="A28" s="15" t="n">
        <v>10</v>
      </c>
      <c r="B28" s="20" t="n">
        <f aca="false" t="array" ref="B28:B28">SUMPRODUCT($B27:$E27,TRANSPOSE(D$8:D$11))</f>
        <v>107.3741824</v>
      </c>
      <c r="C28" s="20" t="n">
        <f aca="false" t="array" ref="C28:C28">SUMPRODUCT($B27:$E27,TRANSPOSE(E$8:E$11))</f>
        <v>134.217728</v>
      </c>
      <c r="D28" s="20" t="n">
        <f aca="false" t="array" ref="D28:D28">SUMPRODUCT($B27:$E27,TRANSPOSE(F$8:F$11))</f>
        <v>209.7152</v>
      </c>
      <c r="E28" s="20" t="n">
        <f aca="false" t="array" ref="E28:E28">SUMPRODUCT($B27:$E27,TRANSPOSE(G$8:G$11))</f>
        <v>548.6928896</v>
      </c>
      <c r="F28" s="20" t="n">
        <f aca="false">SUM(B28:D28)</f>
        <v>451.3071104</v>
      </c>
      <c r="G28" s="20" t="n">
        <f aca="false">SUM(B28:E28)</f>
        <v>1000</v>
      </c>
      <c r="H28" s="18" t="n">
        <f aca="false">SUMPRODUCT(B28:E28,$D$13:$G$13)</f>
        <v>311.04958464</v>
      </c>
      <c r="I28" s="3" t="n">
        <f aca="false">B16*$B$4 + C16*$C$4 + D16*$D$4</f>
        <v>0</v>
      </c>
      <c r="J28" s="21" t="n">
        <f aca="false">G28</f>
        <v>1000</v>
      </c>
      <c r="K28" s="3" t="str">
        <f aca="false">IF(ABS(G28-$B$4)&lt;0.000001,"OK","Check")</f>
        <v>OK</v>
      </c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22" t="s">
        <v>21</v>
      </c>
      <c r="H29" s="23" t="n">
        <f aca="false">SUM(H18:H28)</f>
        <v>6374.97833984</v>
      </c>
      <c r="I29" s="3"/>
      <c r="J29" s="3"/>
      <c r="K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6" t="s">
        <v>22</v>
      </c>
      <c r="H30" s="24" t="n">
        <f aca="false">H29/$B$4</f>
        <v>6.37497833984</v>
      </c>
      <c r="I30" s="3"/>
      <c r="J30" s="3"/>
      <c r="K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26"/>
      <c r="I32" s="26"/>
      <c r="J32" s="3"/>
      <c r="K32" s="3"/>
    </row>
    <row r="33" customFormat="false" ht="15" hidden="false" customHeight="false" outlineLevel="0" collapsed="false">
      <c r="A33" s="3"/>
      <c r="B33" s="3"/>
      <c r="C33" s="3"/>
      <c r="D33" s="3"/>
      <c r="E33" s="25"/>
      <c r="F33" s="3"/>
      <c r="G33" s="3"/>
      <c r="H33" s="3"/>
      <c r="I33" s="3"/>
      <c r="J33" s="3"/>
      <c r="K33" s="3"/>
    </row>
    <row r="34" customFormat="false" ht="15" hidden="false" customHeight="false" outlineLevel="0" collapsed="false">
      <c r="A34" s="3"/>
      <c r="B34" s="3"/>
      <c r="C34" s="3"/>
      <c r="D34" s="3"/>
      <c r="E34" s="25"/>
      <c r="F34" s="3"/>
      <c r="G34" s="27" t="s">
        <v>23</v>
      </c>
      <c r="H34" s="3"/>
      <c r="I34" s="3"/>
      <c r="J34" s="3"/>
      <c r="K34" s="3"/>
    </row>
    <row r="35" customFormat="false" ht="15" hidden="false" customHeight="false" outlineLevel="0" collapsed="false">
      <c r="A35" s="3"/>
      <c r="B35" s="3"/>
      <c r="C35" s="3"/>
      <c r="D35" s="3"/>
      <c r="E35" s="25"/>
      <c r="F35" s="3"/>
      <c r="G35" s="27" t="s">
        <v>24</v>
      </c>
      <c r="H35" s="28" t="n">
        <f aca="false">L56</f>
        <v>6374.99</v>
      </c>
      <c r="I35" s="3"/>
      <c r="J35" s="3"/>
      <c r="K35" s="3"/>
    </row>
    <row r="36" customFormat="false" ht="15" hidden="false" customHeight="false" outlineLevel="0" collapsed="false">
      <c r="A36" s="3"/>
      <c r="B36" s="3"/>
      <c r="C36" s="3"/>
      <c r="D36" s="3"/>
      <c r="E36" s="25"/>
      <c r="F36" s="3"/>
      <c r="G36" s="3"/>
      <c r="H36" s="3"/>
      <c r="I36" s="3"/>
      <c r="J36" s="3"/>
      <c r="K36" s="3"/>
    </row>
    <row r="37" customFormat="false" ht="15" hidden="false" customHeight="false" outlineLevel="0" collapsed="false">
      <c r="A37" s="3"/>
      <c r="B37" s="3"/>
      <c r="C37" s="3"/>
      <c r="D37" s="3"/>
      <c r="E37" s="25"/>
      <c r="F37" s="3"/>
      <c r="G37" s="3"/>
      <c r="H37" s="3"/>
      <c r="I37" s="3"/>
      <c r="J37" s="3"/>
      <c r="K37" s="3"/>
    </row>
    <row r="38" customFormat="false" ht="15" hidden="false" customHeight="false" outlineLevel="0" collapsed="false">
      <c r="A38" s="3"/>
      <c r="B38" s="3"/>
      <c r="C38" s="3"/>
      <c r="D38" s="3"/>
      <c r="E38" s="25"/>
      <c r="F38" s="3"/>
      <c r="G38" s="3"/>
      <c r="H38" s="3"/>
      <c r="I38" s="3"/>
      <c r="J38" s="3"/>
      <c r="K38" s="3"/>
    </row>
    <row r="39" customFormat="false" ht="15" hidden="false" customHeight="false" outlineLevel="0" collapsed="false">
      <c r="A39" s="3" t="s">
        <v>41</v>
      </c>
      <c r="B39" s="3" t="s">
        <v>42</v>
      </c>
      <c r="C39" s="3" t="s">
        <v>43</v>
      </c>
      <c r="D39" s="3" t="s">
        <v>44</v>
      </c>
      <c r="E39" s="25" t="s">
        <v>45</v>
      </c>
      <c r="F39" s="3" t="s">
        <v>46</v>
      </c>
      <c r="G39" s="3" t="s">
        <v>47</v>
      </c>
      <c r="H39" s="3" t="s">
        <v>48</v>
      </c>
      <c r="I39" s="3" t="s">
        <v>49</v>
      </c>
      <c r="J39" s="3"/>
      <c r="K39" s="3"/>
    </row>
    <row r="40" customFormat="false" ht="15" hidden="false" customHeight="false" outlineLevel="0" collapsed="false">
      <c r="A40" s="3" t="n">
        <f aca="false">A19</f>
        <v>1</v>
      </c>
      <c r="B40" s="3" t="n">
        <f aca="false">($D14*D20 + $E14*E20 + $F14*F20) * ($B6/12)</f>
        <v>0</v>
      </c>
      <c r="C40" s="3" t="n">
        <f aca="false">C19*$E$8</f>
        <v>10</v>
      </c>
      <c r="D40" s="3" t="e">
        <f aca="false">sum(J6:L6)</f>
        <v>#NAME?</v>
      </c>
      <c r="E40" s="25" t="e">
        <f aca="false">M6/$B$1</f>
        <v>#DIV/0!</v>
      </c>
      <c r="F40" s="3" t="n">
        <f aca="false">N6*($H$2/12)</f>
        <v>0</v>
      </c>
      <c r="G40" s="3" t="e">
        <f aca="false">O6/(1+$H$3)^((A6+0.5)*$H$2/12)</f>
        <v>#NAME?</v>
      </c>
      <c r="H40" s="3"/>
      <c r="I40" s="3"/>
      <c r="J40" s="3"/>
      <c r="K40" s="3"/>
    </row>
    <row r="41" customFormat="false" ht="15" hidden="false" customHeight="false" outlineLevel="0" collapsed="false">
      <c r="A41" s="3" t="n">
        <f aca="false">A20</f>
        <v>2</v>
      </c>
      <c r="B41" s="3" t="n">
        <f aca="false">B19*$D$8</f>
        <v>640</v>
      </c>
      <c r="C41" s="3" t="n">
        <f aca="false">C20*$E$8</f>
        <v>16</v>
      </c>
      <c r="E41" s="34"/>
    </row>
    <row r="42" customFormat="false" ht="15" hidden="false" customHeight="true" outlineLevel="0" collapsed="false">
      <c r="A42" s="3" t="n">
        <f aca="false">A21</f>
        <v>3</v>
      </c>
      <c r="B42" s="3" t="n">
        <f aca="false">B20*$D$8</f>
        <v>512</v>
      </c>
      <c r="C42" s="3" t="n">
        <f aca="false">C21*$E$8</f>
        <v>19.2</v>
      </c>
    </row>
    <row r="43" customFormat="false" ht="15" hidden="false" customHeight="true" outlineLevel="0" collapsed="false">
      <c r="A43" s="3" t="n">
        <f aca="false">A22</f>
        <v>4</v>
      </c>
      <c r="B43" s="3" t="n">
        <f aca="false">B21*$D$8</f>
        <v>409.6</v>
      </c>
      <c r="C43" s="3" t="n">
        <f aca="false">C22*$E$8</f>
        <v>20.48</v>
      </c>
    </row>
    <row r="44" customFormat="false" ht="15" hidden="false" customHeight="false" outlineLevel="0" collapsed="false">
      <c r="A44" s="3" t="n">
        <f aca="false">A23</f>
        <v>5</v>
      </c>
      <c r="B44" s="3" t="n">
        <f aca="false">B22*$D$8</f>
        <v>327.68</v>
      </c>
      <c r="C44" s="3" t="n">
        <f aca="false">C23*$E$8</f>
        <v>20.48</v>
      </c>
      <c r="K44" s="1" t="s">
        <v>50</v>
      </c>
      <c r="L44" s="1" t="s">
        <v>51</v>
      </c>
    </row>
    <row r="45" customFormat="false" ht="15" hidden="false" customHeight="false" outlineLevel="0" collapsed="false">
      <c r="A45" s="3" t="n">
        <f aca="false">A24</f>
        <v>6</v>
      </c>
      <c r="B45" s="3" t="n">
        <f aca="false">B23*$D$8</f>
        <v>262.144</v>
      </c>
      <c r="C45" s="3" t="n">
        <f aca="false">C24*$E$8</f>
        <v>19.6608</v>
      </c>
      <c r="D45" s="0"/>
      <c r="E45" s="0"/>
      <c r="F45" s="0"/>
      <c r="G45" s="0"/>
      <c r="H45" s="0"/>
      <c r="I45" s="0"/>
      <c r="J45" s="0"/>
      <c r="K45" s="0"/>
    </row>
    <row r="46" customFormat="false" ht="15" hidden="false" customHeight="false" outlineLevel="0" collapsed="false">
      <c r="A46" s="3" t="n">
        <f aca="false">A25</f>
        <v>7</v>
      </c>
      <c r="B46" s="3" t="n">
        <f aca="false">B24*$D$8</f>
        <v>209.7152</v>
      </c>
      <c r="C46" s="3" t="n">
        <f aca="false">C25*$E$8</f>
        <v>18.35008</v>
      </c>
      <c r="D46" s="0"/>
      <c r="E46" s="0"/>
      <c r="F46" s="0"/>
      <c r="G46" s="0"/>
      <c r="H46" s="0"/>
      <c r="I46" s="0"/>
      <c r="J46" s="0"/>
      <c r="K46" s="0"/>
    </row>
    <row r="47" customFormat="false" ht="15" hidden="false" customHeight="false" outlineLevel="0" collapsed="false">
      <c r="A47" s="3" t="n">
        <f aca="false">A26</f>
        <v>8</v>
      </c>
      <c r="B47" s="3" t="n">
        <f aca="false">B25*$D$8</f>
        <v>167.77216</v>
      </c>
      <c r="C47" s="3" t="n">
        <f aca="false">C26*$E$8</f>
        <v>16.777216</v>
      </c>
      <c r="D47" s="0"/>
      <c r="E47" s="0"/>
      <c r="F47" s="0"/>
      <c r="G47" s="0"/>
      <c r="H47" s="0"/>
      <c r="I47" s="0"/>
      <c r="J47" s="0"/>
      <c r="K47" s="0"/>
    </row>
    <row r="48" customFormat="false" ht="15" hidden="false" customHeight="false" outlineLevel="0" collapsed="false">
      <c r="A48" s="3" t="n">
        <f aca="false">A27</f>
        <v>9</v>
      </c>
      <c r="B48" s="3" t="n">
        <f aca="false">B26*$D$8</f>
        <v>134.217728</v>
      </c>
      <c r="C48" s="3" t="n">
        <f aca="false">C27*$E$8</f>
        <v>15.0994944</v>
      </c>
      <c r="D48" s="0"/>
      <c r="E48" s="0"/>
      <c r="F48" s="0"/>
      <c r="G48" s="0"/>
      <c r="H48" s="0"/>
      <c r="I48" s="0"/>
      <c r="J48" s="0"/>
      <c r="K48" s="0"/>
    </row>
    <row r="49" customFormat="false" ht="15" hidden="false" customHeight="false" outlineLevel="0" collapsed="false">
      <c r="A49" s="3" t="n">
        <f aca="false">A28</f>
        <v>10</v>
      </c>
      <c r="B49" s="3" t="n">
        <f aca="false">B27*$D$8</f>
        <v>107.3741824</v>
      </c>
      <c r="C49" s="3" t="n">
        <f aca="false">C28*$E$8</f>
        <v>13.4217728</v>
      </c>
      <c r="D49" s="0"/>
      <c r="E49" s="0"/>
      <c r="F49" s="0"/>
      <c r="G49" s="0"/>
      <c r="H49" s="0"/>
      <c r="I49" s="0"/>
      <c r="J49" s="0"/>
      <c r="K49" s="0"/>
    </row>
    <row r="50" customFormat="false" ht="15" hidden="false" customHeight="false" outlineLevel="0" collapsed="false">
      <c r="A50" s="3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 customFormat="false" ht="15" hidden="false" customHeight="false" outlineLevel="0" collapsed="false">
      <c r="A51" s="3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customFormat="false" ht="1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  <row r="53" customFormat="false" ht="1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</row>
    <row r="54" customFormat="false" ht="1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</row>
    <row r="55" customFormat="false" ht="1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</row>
    <row r="56" customFormat="false" ht="15" hidden="false" customHeight="false" outlineLevel="0" collapsed="false">
      <c r="K56" s="33" t="n">
        <f aca="false">SUM(K64:K74)</f>
        <v>6497627.36</v>
      </c>
      <c r="L56" s="33" t="n">
        <f aca="false">SUM(L64:L74)</f>
        <v>6374.99</v>
      </c>
    </row>
    <row r="64" customFormat="false" ht="15" hidden="false" customHeight="true" outlineLevel="0" collapsed="false">
      <c r="A64" s="35" t="s">
        <v>52</v>
      </c>
      <c r="B64" s="35" t="n">
        <v>0</v>
      </c>
      <c r="C64" s="35" t="n">
        <v>50</v>
      </c>
      <c r="D64" s="35" t="n">
        <v>1</v>
      </c>
      <c r="E64" s="35" t="n">
        <v>1</v>
      </c>
      <c r="F64" s="35" t="n">
        <v>0.01</v>
      </c>
      <c r="G64" s="36" t="n">
        <v>1000</v>
      </c>
      <c r="H64" s="35" t="n">
        <v>0</v>
      </c>
      <c r="I64" s="35" t="n">
        <v>0</v>
      </c>
      <c r="J64" s="35" t="n">
        <v>0</v>
      </c>
      <c r="K64" s="36" t="n">
        <v>100000</v>
      </c>
      <c r="L64" s="35" t="n">
        <v>850</v>
      </c>
    </row>
    <row r="65" customFormat="false" ht="15" hidden="false" customHeight="true" outlineLevel="0" collapsed="false">
      <c r="A65" s="37" t="s">
        <v>26</v>
      </c>
      <c r="B65" s="37" t="n">
        <v>1</v>
      </c>
      <c r="C65" s="37" t="n">
        <v>51</v>
      </c>
      <c r="D65" s="37" t="n">
        <v>1</v>
      </c>
      <c r="E65" s="37" t="n">
        <v>1</v>
      </c>
      <c r="F65" s="37" t="n">
        <v>0.01</v>
      </c>
      <c r="G65" s="37" t="n">
        <v>800</v>
      </c>
      <c r="H65" s="37" t="n">
        <v>100</v>
      </c>
      <c r="I65" s="37" t="n">
        <v>100</v>
      </c>
      <c r="J65" s="37" t="n">
        <v>0</v>
      </c>
      <c r="K65" s="38" t="n">
        <v>380000</v>
      </c>
      <c r="L65" s="37" t="n">
        <v>810</v>
      </c>
    </row>
    <row r="66" customFormat="false" ht="15" hidden="false" customHeight="true" outlineLevel="0" collapsed="false">
      <c r="A66" s="35" t="s">
        <v>27</v>
      </c>
      <c r="B66" s="35" t="n">
        <v>2</v>
      </c>
      <c r="C66" s="35" t="n">
        <v>52</v>
      </c>
      <c r="D66" s="35" t="n">
        <v>1</v>
      </c>
      <c r="E66" s="35" t="n">
        <v>1</v>
      </c>
      <c r="F66" s="35" t="n">
        <v>0.01</v>
      </c>
      <c r="G66" s="35" t="n">
        <v>640</v>
      </c>
      <c r="H66" s="35" t="n">
        <v>160</v>
      </c>
      <c r="I66" s="35" t="n">
        <v>170</v>
      </c>
      <c r="J66" s="35" t="n">
        <v>30</v>
      </c>
      <c r="K66" s="36" t="n">
        <v>564000</v>
      </c>
      <c r="L66" s="35" t="n">
        <v>758</v>
      </c>
    </row>
    <row r="67" customFormat="false" ht="15" hidden="false" customHeight="true" outlineLevel="0" collapsed="false">
      <c r="A67" s="37" t="s">
        <v>28</v>
      </c>
      <c r="B67" s="37" t="n">
        <v>3</v>
      </c>
      <c r="C67" s="37" t="n">
        <v>53</v>
      </c>
      <c r="D67" s="37" t="n">
        <v>1</v>
      </c>
      <c r="E67" s="37" t="n">
        <v>1</v>
      </c>
      <c r="F67" s="37" t="n">
        <v>0.01</v>
      </c>
      <c r="G67" s="37" t="n">
        <v>512</v>
      </c>
      <c r="H67" s="37" t="n">
        <v>192</v>
      </c>
      <c r="I67" s="37" t="n">
        <v>216</v>
      </c>
      <c r="J67" s="37" t="n">
        <v>80</v>
      </c>
      <c r="K67" s="38" t="n">
        <v>675200</v>
      </c>
      <c r="L67" s="37" t="n">
        <v>699.2</v>
      </c>
    </row>
    <row r="68" customFormat="false" ht="15" hidden="false" customHeight="true" outlineLevel="0" collapsed="false">
      <c r="A68" s="35" t="s">
        <v>29</v>
      </c>
      <c r="B68" s="35" t="n">
        <v>4</v>
      </c>
      <c r="C68" s="35" t="n">
        <v>54</v>
      </c>
      <c r="D68" s="35" t="n">
        <v>1</v>
      </c>
      <c r="E68" s="35" t="n">
        <v>1</v>
      </c>
      <c r="F68" s="35" t="n">
        <v>0.01</v>
      </c>
      <c r="G68" s="35" t="n">
        <v>409.6</v>
      </c>
      <c r="H68" s="35" t="n">
        <v>204.8</v>
      </c>
      <c r="I68" s="35" t="n">
        <v>243.2</v>
      </c>
      <c r="J68" s="35" t="n">
        <v>142.4</v>
      </c>
      <c r="K68" s="36" t="n">
        <v>732160</v>
      </c>
      <c r="L68" s="35" t="n">
        <v>637.44</v>
      </c>
    </row>
    <row r="69" customFormat="false" ht="15" hidden="false" customHeight="true" outlineLevel="0" collapsed="false">
      <c r="A69" s="37" t="s">
        <v>30</v>
      </c>
      <c r="B69" s="37" t="n">
        <v>5</v>
      </c>
      <c r="C69" s="37" t="n">
        <v>55</v>
      </c>
      <c r="D69" s="37" t="n">
        <v>1</v>
      </c>
      <c r="E69" s="37" t="n">
        <v>1</v>
      </c>
      <c r="F69" s="37" t="n">
        <v>0.01</v>
      </c>
      <c r="G69" s="37" t="n">
        <v>327.68</v>
      </c>
      <c r="H69" s="37" t="n">
        <v>204.8</v>
      </c>
      <c r="I69" s="37" t="n">
        <v>256</v>
      </c>
      <c r="J69" s="37" t="n">
        <v>211.52</v>
      </c>
      <c r="K69" s="38" t="n">
        <v>749568</v>
      </c>
      <c r="L69" s="37" t="n">
        <v>575.49</v>
      </c>
    </row>
    <row r="70" customFormat="false" ht="15" hidden="false" customHeight="true" outlineLevel="0" collapsed="false">
      <c r="A70" s="35" t="s">
        <v>31</v>
      </c>
      <c r="B70" s="35" t="n">
        <v>6</v>
      </c>
      <c r="C70" s="35" t="n">
        <v>56</v>
      </c>
      <c r="D70" s="35" t="n">
        <v>1</v>
      </c>
      <c r="E70" s="35" t="n">
        <v>1</v>
      </c>
      <c r="F70" s="35" t="n">
        <v>0.01</v>
      </c>
      <c r="G70" s="35" t="n">
        <v>262.14</v>
      </c>
      <c r="H70" s="35" t="n">
        <v>196.61</v>
      </c>
      <c r="I70" s="35" t="n">
        <v>258.05</v>
      </c>
      <c r="J70" s="35" t="n">
        <v>283.2</v>
      </c>
      <c r="K70" s="36" t="n">
        <v>738918.4</v>
      </c>
      <c r="L70" s="35" t="n">
        <v>515.28</v>
      </c>
    </row>
    <row r="71" customFormat="false" ht="15" hidden="false" customHeight="true" outlineLevel="0" collapsed="false">
      <c r="A71" s="37" t="s">
        <v>32</v>
      </c>
      <c r="B71" s="37" t="n">
        <v>7</v>
      </c>
      <c r="C71" s="37" t="n">
        <v>57</v>
      </c>
      <c r="D71" s="37" t="n">
        <v>1</v>
      </c>
      <c r="E71" s="37" t="n">
        <v>1</v>
      </c>
      <c r="F71" s="37" t="n">
        <v>0.01</v>
      </c>
      <c r="G71" s="37" t="n">
        <v>209.72</v>
      </c>
      <c r="H71" s="37" t="n">
        <v>183.5</v>
      </c>
      <c r="I71" s="37" t="n">
        <v>252.31</v>
      </c>
      <c r="J71" s="37" t="n">
        <v>354.47</v>
      </c>
      <c r="K71" s="38" t="n">
        <v>709099.52</v>
      </c>
      <c r="L71" s="37" t="n">
        <v>458.1</v>
      </c>
    </row>
    <row r="72" customFormat="false" ht="15" hidden="false" customHeight="true" outlineLevel="0" collapsed="false">
      <c r="A72" s="35" t="s">
        <v>33</v>
      </c>
      <c r="B72" s="35" t="n">
        <v>8</v>
      </c>
      <c r="C72" s="35" t="n">
        <v>58</v>
      </c>
      <c r="D72" s="35" t="n">
        <v>1</v>
      </c>
      <c r="E72" s="35" t="n">
        <v>1</v>
      </c>
      <c r="F72" s="35" t="n">
        <v>0.02</v>
      </c>
      <c r="G72" s="35" t="n">
        <v>167.77</v>
      </c>
      <c r="H72" s="35" t="n">
        <v>167.77</v>
      </c>
      <c r="I72" s="35" t="n">
        <v>241.17</v>
      </c>
      <c r="J72" s="35" t="n">
        <v>423.28</v>
      </c>
      <c r="K72" s="36" t="n">
        <v>666894.34</v>
      </c>
      <c r="L72" s="35" t="n">
        <v>404.75</v>
      </c>
    </row>
    <row r="73" customFormat="false" ht="15" hidden="false" customHeight="true" outlineLevel="0" collapsed="false">
      <c r="A73" s="37" t="s">
        <v>34</v>
      </c>
      <c r="B73" s="37" t="n">
        <v>9</v>
      </c>
      <c r="C73" s="37" t="n">
        <v>59</v>
      </c>
      <c r="D73" s="37" t="n">
        <v>1</v>
      </c>
      <c r="E73" s="37" t="n">
        <v>1</v>
      </c>
      <c r="F73" s="37" t="n">
        <v>0.02</v>
      </c>
      <c r="G73" s="37" t="n">
        <v>134.22</v>
      </c>
      <c r="H73" s="37" t="n">
        <v>150.99</v>
      </c>
      <c r="I73" s="37" t="n">
        <v>226.49</v>
      </c>
      <c r="J73" s="37" t="n">
        <v>488.29</v>
      </c>
      <c r="K73" s="38" t="n">
        <v>617401.55</v>
      </c>
      <c r="L73" s="37" t="n">
        <v>355.68</v>
      </c>
    </row>
    <row r="74" customFormat="false" ht="15" hidden="false" customHeight="true" outlineLevel="0" collapsed="false">
      <c r="A74" s="35" t="s">
        <v>35</v>
      </c>
      <c r="B74" s="35" t="n">
        <v>10</v>
      </c>
      <c r="C74" s="35" t="n">
        <v>60</v>
      </c>
      <c r="D74" s="35" t="n">
        <v>1</v>
      </c>
      <c r="E74" s="35" t="n">
        <v>1</v>
      </c>
      <c r="F74" s="35" t="n">
        <v>0.02</v>
      </c>
      <c r="G74" s="35" t="n">
        <v>107.37</v>
      </c>
      <c r="H74" s="35" t="n">
        <v>134.22</v>
      </c>
      <c r="I74" s="35" t="n">
        <v>209.72</v>
      </c>
      <c r="J74" s="35" t="n">
        <v>548.69</v>
      </c>
      <c r="K74" s="36" t="n">
        <v>564385.55</v>
      </c>
      <c r="L74" s="35" t="n">
        <v>311.05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2025-08-21T19:56:34Z</dcterms:created>
  <dc:creator>openpyxl</dc:creator>
  <dc:description/>
  <dc:language>tr-TR</dc:language>
  <cp:lastModifiedBy/>
  <dcterms:modified xsi:type="dcterms:W3CDTF">2025-08-29T13:47:13Z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